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C:\Users\tpratt\Dropbox\Z Thesis Research\1_Journal\d_fourth submission\GitHub\"/>
    </mc:Choice>
  </mc:AlternateContent>
  <xr:revisionPtr revIDLastSave="0" documentId="13_ncr:1_{0F24CEA4-00DE-4CE2-AAAC-D73BDB3B0939}" xr6:coauthVersionLast="36" xr6:coauthVersionMax="36" xr10:uidLastSave="{00000000-0000-0000-0000-000000000000}"/>
  <bookViews>
    <workbookView xWindow="480" yWindow="105" windowWidth="8595" windowHeight="7740" xr2:uid="{00000000-000D-0000-FFFF-FFFF00000000}"/>
  </bookViews>
  <sheets>
    <sheet name="Soils" sheetId="6" r:id="rId1"/>
    <sheet name="weather data" sheetId="5" r:id="rId2"/>
    <sheet name="Fig 6" sheetId="3" r:id="rId3"/>
  </sheets>
  <calcPr calcId="162913"/>
</workbook>
</file>

<file path=xl/calcChain.xml><?xml version="1.0" encoding="utf-8"?>
<calcChain xmlns="http://schemas.openxmlformats.org/spreadsheetml/2006/main">
  <c r="AB62" i="6" l="1"/>
  <c r="M34" i="6" l="1"/>
  <c r="N34" i="6" s="1"/>
  <c r="AN82" i="3" l="1"/>
  <c r="AN84" i="3"/>
  <c r="AN85" i="3"/>
  <c r="AN86" i="3"/>
  <c r="AN88" i="3"/>
  <c r="AN89" i="3"/>
  <c r="AN90" i="3"/>
  <c r="AN92" i="3"/>
  <c r="AN93" i="3"/>
  <c r="AN94" i="3"/>
  <c r="AN96" i="3"/>
  <c r="AN97" i="3"/>
  <c r="AN98" i="3"/>
  <c r="AN100" i="3"/>
  <c r="AN101" i="3"/>
  <c r="AN102" i="3"/>
  <c r="AN104" i="3"/>
  <c r="AN105" i="3"/>
  <c r="AN106" i="3"/>
  <c r="AN108" i="3"/>
  <c r="AN109" i="3"/>
  <c r="AN110" i="3"/>
  <c r="AN112" i="3"/>
  <c r="AN113" i="3"/>
  <c r="AM10" i="3"/>
  <c r="AN10" i="3" s="1"/>
  <c r="AN83" i="3"/>
  <c r="AN87" i="3"/>
  <c r="AN91" i="3"/>
  <c r="AN95" i="3"/>
  <c r="AN99" i="3"/>
  <c r="AN103" i="3"/>
  <c r="AN107" i="3"/>
  <c r="AN111" i="3"/>
  <c r="AG56" i="3" l="1"/>
  <c r="AM56" i="3" s="1"/>
  <c r="AN56" i="3" s="1"/>
  <c r="AG57" i="3"/>
  <c r="AM57" i="3" s="1"/>
  <c r="AN57" i="3" s="1"/>
  <c r="AG64" i="3"/>
  <c r="AM64" i="3" s="1"/>
  <c r="AN64" i="3" s="1"/>
  <c r="AG65" i="3"/>
  <c r="AM65" i="3" s="1"/>
  <c r="AN65" i="3" s="1"/>
  <c r="AG72" i="3"/>
  <c r="AM72" i="3" s="1"/>
  <c r="AN72" i="3" s="1"/>
  <c r="AG73" i="3"/>
  <c r="AM73" i="3" s="1"/>
  <c r="AN73" i="3" s="1"/>
  <c r="AG80" i="3"/>
  <c r="AM80" i="3" s="1"/>
  <c r="AN80" i="3" s="1"/>
  <c r="AF12" i="3"/>
  <c r="AF13" i="3"/>
  <c r="AF14" i="3"/>
  <c r="AF15"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11" i="3"/>
  <c r="AD12" i="3"/>
  <c r="AD13" i="3"/>
  <c r="AD14" i="3"/>
  <c r="AD15"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5" i="3"/>
  <c r="AD76" i="3"/>
  <c r="AD77" i="3"/>
  <c r="AD78" i="3"/>
  <c r="AD79" i="3"/>
  <c r="AD80" i="3"/>
  <c r="AD81" i="3"/>
  <c r="AD11" i="3"/>
  <c r="AB12" i="3"/>
  <c r="AB13" i="3"/>
  <c r="AB14" i="3"/>
  <c r="AB15" i="3"/>
  <c r="AB51" i="3"/>
  <c r="AB52" i="3"/>
  <c r="AB53" i="3"/>
  <c r="AB54" i="3"/>
  <c r="AB55" i="3"/>
  <c r="AB56" i="3"/>
  <c r="AB57" i="3"/>
  <c r="AB58" i="3"/>
  <c r="AG58" i="3" s="1"/>
  <c r="AM58" i="3" s="1"/>
  <c r="AN58" i="3" s="1"/>
  <c r="AB59" i="3"/>
  <c r="AB60" i="3"/>
  <c r="AB61" i="3"/>
  <c r="AB62" i="3"/>
  <c r="AB63" i="3"/>
  <c r="AB64" i="3"/>
  <c r="AB65" i="3"/>
  <c r="AB66" i="3"/>
  <c r="AG66" i="3" s="1"/>
  <c r="AM66" i="3" s="1"/>
  <c r="AN66" i="3" s="1"/>
  <c r="AB67" i="3"/>
  <c r="AB68" i="3"/>
  <c r="AB69" i="3"/>
  <c r="AB70" i="3"/>
  <c r="AB71" i="3"/>
  <c r="AB72" i="3"/>
  <c r="AB73" i="3"/>
  <c r="AB74" i="3"/>
  <c r="AG74" i="3" s="1"/>
  <c r="AM74" i="3" s="1"/>
  <c r="AN74" i="3" s="1"/>
  <c r="AB75" i="3"/>
  <c r="AB76" i="3"/>
  <c r="AB77" i="3"/>
  <c r="AB78" i="3"/>
  <c r="AB79" i="3"/>
  <c r="AB80" i="3"/>
  <c r="AB81" i="3"/>
  <c r="AB82" i="3"/>
  <c r="AB83" i="3"/>
  <c r="AB84" i="3"/>
  <c r="AB85" i="3"/>
  <c r="AB86" i="3"/>
  <c r="AB87" i="3"/>
  <c r="AB88" i="3"/>
  <c r="AB89" i="3"/>
  <c r="AB90" i="3"/>
  <c r="AB11" i="3"/>
  <c r="AG11" i="3" s="1"/>
  <c r="Z12" i="3"/>
  <c r="AG12" i="3" s="1"/>
  <c r="Z13" i="3"/>
  <c r="AG13" i="3" s="1"/>
  <c r="Z14" i="3"/>
  <c r="AG14" i="3" s="1"/>
  <c r="Z15" i="3"/>
  <c r="AG15" i="3" s="1"/>
  <c r="Z39" i="3"/>
  <c r="Z40" i="3"/>
  <c r="Z41" i="3"/>
  <c r="Z42" i="3"/>
  <c r="Z43" i="3"/>
  <c r="Z44" i="3"/>
  <c r="Z45" i="3"/>
  <c r="Z46" i="3"/>
  <c r="Z47" i="3"/>
  <c r="Z48" i="3"/>
  <c r="Z49" i="3"/>
  <c r="Z50" i="3"/>
  <c r="Z51" i="3"/>
  <c r="AG51" i="3" s="1"/>
  <c r="AM51" i="3" s="1"/>
  <c r="AN51" i="3" s="1"/>
  <c r="Z52" i="3"/>
  <c r="AG52" i="3" s="1"/>
  <c r="AM52" i="3" s="1"/>
  <c r="AN52" i="3" s="1"/>
  <c r="Z53" i="3"/>
  <c r="AG53" i="3" s="1"/>
  <c r="AM53" i="3" s="1"/>
  <c r="AN53" i="3" s="1"/>
  <c r="Z54" i="3"/>
  <c r="AG54" i="3" s="1"/>
  <c r="AM54" i="3" s="1"/>
  <c r="AN54" i="3" s="1"/>
  <c r="Z55" i="3"/>
  <c r="AG55" i="3" s="1"/>
  <c r="AM55" i="3" s="1"/>
  <c r="AN55" i="3" s="1"/>
  <c r="Z56" i="3"/>
  <c r="Z57" i="3"/>
  <c r="Z58" i="3"/>
  <c r="Z59" i="3"/>
  <c r="AG59" i="3" s="1"/>
  <c r="AM59" i="3" s="1"/>
  <c r="AN59" i="3" s="1"/>
  <c r="Z60" i="3"/>
  <c r="AG60" i="3" s="1"/>
  <c r="AM60" i="3" s="1"/>
  <c r="AN60" i="3" s="1"/>
  <c r="Z61" i="3"/>
  <c r="AG61" i="3" s="1"/>
  <c r="AM61" i="3" s="1"/>
  <c r="AN61" i="3" s="1"/>
  <c r="Z62" i="3"/>
  <c r="AG62" i="3" s="1"/>
  <c r="AM62" i="3" s="1"/>
  <c r="AN62" i="3" s="1"/>
  <c r="Z63" i="3"/>
  <c r="AG63" i="3" s="1"/>
  <c r="AM63" i="3" s="1"/>
  <c r="AN63" i="3" s="1"/>
  <c r="Z64" i="3"/>
  <c r="Z65" i="3"/>
  <c r="Z66" i="3"/>
  <c r="Z67" i="3"/>
  <c r="AG67" i="3" s="1"/>
  <c r="AM67" i="3" s="1"/>
  <c r="AN67" i="3" s="1"/>
  <c r="Z68" i="3"/>
  <c r="AG68" i="3" s="1"/>
  <c r="AM68" i="3" s="1"/>
  <c r="AN68" i="3" s="1"/>
  <c r="Z69" i="3"/>
  <c r="AG69" i="3" s="1"/>
  <c r="AM69" i="3" s="1"/>
  <c r="AN69" i="3" s="1"/>
  <c r="Z70" i="3"/>
  <c r="AG70" i="3" s="1"/>
  <c r="AM70" i="3" s="1"/>
  <c r="AN70" i="3" s="1"/>
  <c r="Z71" i="3"/>
  <c r="AG71" i="3" s="1"/>
  <c r="AM71" i="3" s="1"/>
  <c r="AN71" i="3" s="1"/>
  <c r="Z72" i="3"/>
  <c r="Z73" i="3"/>
  <c r="Z74" i="3"/>
  <c r="Z75" i="3"/>
  <c r="AG75" i="3" s="1"/>
  <c r="AM75" i="3" s="1"/>
  <c r="AN75" i="3" s="1"/>
  <c r="Z76" i="3"/>
  <c r="AG76" i="3" s="1"/>
  <c r="AM76" i="3" s="1"/>
  <c r="AN76" i="3" s="1"/>
  <c r="Z77" i="3"/>
  <c r="AG77" i="3" s="1"/>
  <c r="AM77" i="3" s="1"/>
  <c r="AN77" i="3" s="1"/>
  <c r="Z78" i="3"/>
  <c r="AG78" i="3" s="1"/>
  <c r="AM78" i="3" s="1"/>
  <c r="AN78" i="3" s="1"/>
  <c r="Z79" i="3"/>
  <c r="AG79" i="3" s="1"/>
  <c r="AM79" i="3" s="1"/>
  <c r="AN79" i="3" s="1"/>
  <c r="Z80" i="3"/>
  <c r="Z81" i="3"/>
  <c r="Z82" i="3"/>
  <c r="Z83" i="3"/>
  <c r="Z84" i="3"/>
  <c r="Z85" i="3"/>
  <c r="Z86" i="3"/>
  <c r="Z87" i="3"/>
  <c r="Z88" i="3"/>
  <c r="Z11" i="3"/>
  <c r="G34" i="6" l="1"/>
  <c r="G35" i="6"/>
  <c r="G36" i="6"/>
  <c r="G37" i="6"/>
  <c r="R34" i="6"/>
  <c r="AP95" i="3"/>
  <c r="AQ95" i="3" s="1"/>
  <c r="AP96" i="3"/>
  <c r="AQ96" i="3" s="1"/>
  <c r="AP97" i="3"/>
  <c r="AP98" i="3"/>
  <c r="AQ98" i="3" s="1"/>
  <c r="AP99" i="3"/>
  <c r="AQ99" i="3" s="1"/>
  <c r="AP100" i="3"/>
  <c r="AP101" i="3"/>
  <c r="AQ101" i="3" s="1"/>
  <c r="AP102" i="3"/>
  <c r="AP103" i="3"/>
  <c r="AQ103" i="3" s="1"/>
  <c r="AP104" i="3"/>
  <c r="AP105" i="3"/>
  <c r="AQ105" i="3" s="1"/>
  <c r="AP106" i="3"/>
  <c r="AQ106" i="3" s="1"/>
  <c r="AP107" i="3"/>
  <c r="AQ107" i="3" s="1"/>
  <c r="AP108" i="3"/>
  <c r="AP109" i="3"/>
  <c r="AQ109" i="3" s="1"/>
  <c r="AP110" i="3"/>
  <c r="AP111" i="3"/>
  <c r="AQ111" i="3" s="1"/>
  <c r="AP112" i="3"/>
  <c r="AP113" i="3"/>
  <c r="AQ113" i="3" s="1"/>
  <c r="C113" i="3"/>
  <c r="L113" i="3" s="1"/>
  <c r="O113" i="3" s="1"/>
  <c r="AA91" i="3"/>
  <c r="Y89" i="3"/>
  <c r="Z89" i="3" s="1"/>
  <c r="AC82" i="3"/>
  <c r="AE81" i="3"/>
  <c r="AE16" i="3"/>
  <c r="AC16" i="3"/>
  <c r="AA16" i="3"/>
  <c r="Y16" i="3"/>
  <c r="AE17" i="3" l="1"/>
  <c r="AF16" i="3"/>
  <c r="Y17" i="3"/>
  <c r="Z16" i="3"/>
  <c r="AA17" i="3"/>
  <c r="AB16" i="3"/>
  <c r="H34" i="6"/>
  <c r="I34" i="6" s="1"/>
  <c r="AR108" i="3"/>
  <c r="AS108" i="3" s="1"/>
  <c r="AQ108" i="3"/>
  <c r="AR100" i="3"/>
  <c r="AQ100" i="3"/>
  <c r="AC83" i="3"/>
  <c r="AD82" i="3"/>
  <c r="AR97" i="3"/>
  <c r="AS97" i="3" s="1"/>
  <c r="AQ97" i="3"/>
  <c r="AE82" i="3"/>
  <c r="AF81" i="3"/>
  <c r="AG81" i="3" s="1"/>
  <c r="AM81" i="3" s="1"/>
  <c r="AN81" i="3" s="1"/>
  <c r="AR110" i="3"/>
  <c r="AS110" i="3" s="1"/>
  <c r="AQ110" i="3"/>
  <c r="AR102" i="3"/>
  <c r="AS102" i="3" s="1"/>
  <c r="AQ102" i="3"/>
  <c r="AC17" i="3"/>
  <c r="AD16" i="3"/>
  <c r="AA92" i="3"/>
  <c r="AB91" i="3"/>
  <c r="AR112" i="3"/>
  <c r="AS112" i="3" s="1"/>
  <c r="AQ112" i="3"/>
  <c r="AR104" i="3"/>
  <c r="AS104" i="3" s="1"/>
  <c r="AQ104" i="3"/>
  <c r="P113" i="3"/>
  <c r="Q113" i="3" s="1"/>
  <c r="AR111" i="3"/>
  <c r="AS111" i="3" s="1"/>
  <c r="AR113" i="3"/>
  <c r="AS113" i="3" s="1"/>
  <c r="AR109" i="3"/>
  <c r="AS109" i="3" s="1"/>
  <c r="AR107" i="3"/>
  <c r="AS107" i="3" s="1"/>
  <c r="AR106" i="3"/>
  <c r="AS106" i="3" s="1"/>
  <c r="AR105" i="3"/>
  <c r="AS105" i="3" s="1"/>
  <c r="AR101" i="3"/>
  <c r="AS101" i="3" s="1"/>
  <c r="AR103" i="3"/>
  <c r="AS103" i="3" s="1"/>
  <c r="AR99" i="3"/>
  <c r="AS99" i="3" s="1"/>
  <c r="AR96" i="3"/>
  <c r="AS96" i="3" s="1"/>
  <c r="AR95" i="3"/>
  <c r="AS95" i="3" s="1"/>
  <c r="AS100" i="3"/>
  <c r="AR98" i="3"/>
  <c r="AS98" i="3" s="1"/>
  <c r="Y90" i="3"/>
  <c r="Z90" i="3" s="1"/>
  <c r="AE83" i="3" l="1"/>
  <c r="AF82" i="3"/>
  <c r="AA18" i="3"/>
  <c r="AB17" i="3"/>
  <c r="AC84" i="3"/>
  <c r="AD83" i="3"/>
  <c r="AG16" i="3"/>
  <c r="Y18" i="3"/>
  <c r="Z17" i="3"/>
  <c r="AC18" i="3"/>
  <c r="AD17" i="3"/>
  <c r="AG82" i="3"/>
  <c r="AA93" i="3"/>
  <c r="AB92" i="3"/>
  <c r="AE18" i="3"/>
  <c r="AF17" i="3"/>
  <c r="Y91" i="3"/>
  <c r="Z91" i="3" s="1"/>
  <c r="AA94" i="3" l="1"/>
  <c r="AB93" i="3"/>
  <c r="AA19" i="3"/>
  <c r="AB18" i="3"/>
  <c r="AC85" i="3"/>
  <c r="AD84" i="3"/>
  <c r="AG17" i="3"/>
  <c r="AE19" i="3"/>
  <c r="AF18" i="3"/>
  <c r="AC19" i="3"/>
  <c r="AD18" i="3"/>
  <c r="Y19" i="3"/>
  <c r="Z18" i="3"/>
  <c r="AG18" i="3" s="1"/>
  <c r="AE84" i="3"/>
  <c r="AF83" i="3"/>
  <c r="AG83" i="3" s="1"/>
  <c r="Y92" i="3"/>
  <c r="Z92" i="3" s="1"/>
  <c r="AC86" i="3" l="1"/>
  <c r="AD85" i="3"/>
  <c r="AC20" i="3"/>
  <c r="AD19" i="3"/>
  <c r="AE85" i="3"/>
  <c r="AF84" i="3"/>
  <c r="AG84" i="3" s="1"/>
  <c r="Y20" i="3"/>
  <c r="Z19" i="3"/>
  <c r="AA20" i="3"/>
  <c r="AB19" i="3"/>
  <c r="AE20" i="3"/>
  <c r="AF19" i="3"/>
  <c r="AA95" i="3"/>
  <c r="AB94" i="3"/>
  <c r="Y93" i="3"/>
  <c r="Z93" i="3" s="1"/>
  <c r="AE86" i="3" l="1"/>
  <c r="AF85" i="3"/>
  <c r="AG85" i="3" s="1"/>
  <c r="AC87" i="3"/>
  <c r="AD86" i="3"/>
  <c r="AB95" i="3"/>
  <c r="AA96" i="3"/>
  <c r="AE21" i="3"/>
  <c r="AF20" i="3"/>
  <c r="AC21" i="3"/>
  <c r="AD20" i="3"/>
  <c r="AA21" i="3"/>
  <c r="AB20" i="3"/>
  <c r="AG19" i="3"/>
  <c r="Y21" i="3"/>
  <c r="Z20" i="3"/>
  <c r="Y94" i="3"/>
  <c r="Y22" i="3" l="1"/>
  <c r="Z21" i="3"/>
  <c r="AA22" i="3"/>
  <c r="AB21" i="3"/>
  <c r="AG86" i="3"/>
  <c r="AC22" i="3"/>
  <c r="AD21" i="3"/>
  <c r="AB96" i="3"/>
  <c r="AA97" i="3"/>
  <c r="AC88" i="3"/>
  <c r="AD87" i="3"/>
  <c r="Y95" i="3"/>
  <c r="Z95" i="3" s="1"/>
  <c r="Z94" i="3"/>
  <c r="AG20" i="3"/>
  <c r="AE22" i="3"/>
  <c r="AF21" i="3"/>
  <c r="AE87" i="3"/>
  <c r="AF86" i="3"/>
  <c r="AC23" i="3" l="1"/>
  <c r="AD22" i="3"/>
  <c r="AA23" i="3"/>
  <c r="AB22" i="3"/>
  <c r="AE23" i="3"/>
  <c r="AF22" i="3"/>
  <c r="AD88" i="3"/>
  <c r="AC89" i="3"/>
  <c r="Y96" i="3"/>
  <c r="Z96" i="3" s="1"/>
  <c r="AG21" i="3"/>
  <c r="AE88" i="3"/>
  <c r="AF87" i="3"/>
  <c r="AG87" i="3" s="1"/>
  <c r="AB97" i="3"/>
  <c r="AA98" i="3"/>
  <c r="Y23" i="3"/>
  <c r="Z22" i="3"/>
  <c r="AE24" i="3" l="1"/>
  <c r="AF23" i="3"/>
  <c r="AE89" i="3"/>
  <c r="AF88" i="3"/>
  <c r="AG88" i="3" s="1"/>
  <c r="Y97" i="3"/>
  <c r="Z97" i="3" s="1"/>
  <c r="AA24" i="3"/>
  <c r="AB23" i="3"/>
  <c r="Y24" i="3"/>
  <c r="Z23" i="3"/>
  <c r="AC90" i="3"/>
  <c r="AD89" i="3"/>
  <c r="AC24" i="3"/>
  <c r="AD23" i="3"/>
  <c r="AG22" i="3"/>
  <c r="AA99" i="3"/>
  <c r="AB98" i="3"/>
  <c r="AB99" i="3" l="1"/>
  <c r="AA100" i="3"/>
  <c r="AC25" i="3"/>
  <c r="AD24" i="3"/>
  <c r="AA25" i="3"/>
  <c r="AB24" i="3"/>
  <c r="AE90" i="3"/>
  <c r="AF89" i="3"/>
  <c r="AG89" i="3" s="1"/>
  <c r="AC91" i="3"/>
  <c r="AD90" i="3"/>
  <c r="Y98" i="3"/>
  <c r="Z98" i="3" s="1"/>
  <c r="AG23" i="3"/>
  <c r="Y25" i="3"/>
  <c r="Z24" i="3"/>
  <c r="AG24" i="3" s="1"/>
  <c r="AE25" i="3"/>
  <c r="AF24" i="3"/>
  <c r="Y26" i="3" l="1"/>
  <c r="Z25" i="3"/>
  <c r="AC26" i="3"/>
  <c r="AD25" i="3"/>
  <c r="AE91" i="3"/>
  <c r="AF90" i="3"/>
  <c r="AG90" i="3"/>
  <c r="AA26" i="3"/>
  <c r="AB25" i="3"/>
  <c r="Y99" i="3"/>
  <c r="Z99" i="3" s="1"/>
  <c r="AA101" i="3"/>
  <c r="AB100" i="3"/>
  <c r="AE26" i="3"/>
  <c r="AF25" i="3"/>
  <c r="AC92" i="3"/>
  <c r="AD91" i="3"/>
  <c r="AC93" i="3" l="1"/>
  <c r="AD92" i="3"/>
  <c r="AE92" i="3"/>
  <c r="AF91" i="3"/>
  <c r="AC27" i="3"/>
  <c r="AD26" i="3"/>
  <c r="AA102" i="3"/>
  <c r="AB101" i="3"/>
  <c r="AG25" i="3"/>
  <c r="AE27" i="3"/>
  <c r="AF26" i="3"/>
  <c r="Y100" i="3"/>
  <c r="Z100" i="3" s="1"/>
  <c r="AG91" i="3"/>
  <c r="AA27" i="3"/>
  <c r="AB26" i="3"/>
  <c r="Y27" i="3"/>
  <c r="Z26" i="3"/>
  <c r="AC28" i="3" l="1"/>
  <c r="AD27" i="3"/>
  <c r="AA28" i="3"/>
  <c r="AB27" i="3"/>
  <c r="AE28" i="3"/>
  <c r="AF27" i="3"/>
  <c r="AE93" i="3"/>
  <c r="AF92" i="3"/>
  <c r="AA103" i="3"/>
  <c r="AB102" i="3"/>
  <c r="Y101" i="3"/>
  <c r="Z101" i="3" s="1"/>
  <c r="AG26" i="3"/>
  <c r="AG92" i="3"/>
  <c r="Y28" i="3"/>
  <c r="Z27" i="3"/>
  <c r="AG27" i="3" s="1"/>
  <c r="AC94" i="3"/>
  <c r="AD93" i="3"/>
  <c r="AE94" i="3" l="1"/>
  <c r="AF93" i="3"/>
  <c r="Y29" i="3"/>
  <c r="Z28" i="3"/>
  <c r="AE29" i="3"/>
  <c r="AF28" i="3"/>
  <c r="AA29" i="3"/>
  <c r="AB28" i="3"/>
  <c r="AB103" i="3"/>
  <c r="AA104" i="3"/>
  <c r="Y102" i="3"/>
  <c r="Z102" i="3" s="1"/>
  <c r="AG93" i="3"/>
  <c r="AC29" i="3"/>
  <c r="AD28" i="3"/>
  <c r="AC95" i="3"/>
  <c r="AD94" i="3"/>
  <c r="AE30" i="3" l="1"/>
  <c r="AF29" i="3"/>
  <c r="Y30" i="3"/>
  <c r="Z29" i="3"/>
  <c r="AC96" i="3"/>
  <c r="AD95" i="3"/>
  <c r="AC30" i="3"/>
  <c r="AD29" i="3"/>
  <c r="AG28" i="3"/>
  <c r="AA30" i="3"/>
  <c r="AB29" i="3"/>
  <c r="Y103" i="3"/>
  <c r="Z103" i="3" s="1"/>
  <c r="AB104" i="3"/>
  <c r="AA105" i="3"/>
  <c r="AG94" i="3"/>
  <c r="AE95" i="3"/>
  <c r="AF94" i="3"/>
  <c r="AC31" i="3" l="1"/>
  <c r="AD30" i="3"/>
  <c r="AC97" i="3"/>
  <c r="AD96" i="3"/>
  <c r="AB105" i="3"/>
  <c r="AA106" i="3"/>
  <c r="AG29" i="3"/>
  <c r="Y31" i="3"/>
  <c r="Z30" i="3"/>
  <c r="AA31" i="3"/>
  <c r="AB30" i="3"/>
  <c r="Y104" i="3"/>
  <c r="Z104" i="3" s="1"/>
  <c r="AE96" i="3"/>
  <c r="AF95" i="3"/>
  <c r="AG95" i="3" s="1"/>
  <c r="AE31" i="3"/>
  <c r="AF30" i="3"/>
  <c r="Y32" i="3" l="1"/>
  <c r="Z31" i="3"/>
  <c r="AB106" i="3"/>
  <c r="AA107" i="3"/>
  <c r="AE97" i="3"/>
  <c r="AF96" i="3"/>
  <c r="AG96" i="3" s="1"/>
  <c r="AC98" i="3"/>
  <c r="AD97" i="3"/>
  <c r="Y105" i="3"/>
  <c r="Z105" i="3" s="1"/>
  <c r="AA32" i="3"/>
  <c r="AB31" i="3"/>
  <c r="AE32" i="3"/>
  <c r="AF31" i="3"/>
  <c r="AG30" i="3"/>
  <c r="AC32" i="3"/>
  <c r="AD31" i="3"/>
  <c r="Y106" i="3"/>
  <c r="Z106" i="3" s="1"/>
  <c r="AE33" i="3" l="1"/>
  <c r="AF32" i="3"/>
  <c r="AA33" i="3"/>
  <c r="AB32" i="3"/>
  <c r="AB107" i="3"/>
  <c r="AA108" i="3"/>
  <c r="AG31" i="3"/>
  <c r="AC99" i="3"/>
  <c r="AD98" i="3"/>
  <c r="AE98" i="3"/>
  <c r="AF97" i="3"/>
  <c r="AG97" i="3" s="1"/>
  <c r="AC33" i="3"/>
  <c r="AD32" i="3"/>
  <c r="Y33" i="3"/>
  <c r="Z32" i="3"/>
  <c r="Y107" i="3"/>
  <c r="Z107" i="3" s="1"/>
  <c r="AC34" i="3" l="1"/>
  <c r="AD33" i="3"/>
  <c r="AE34" i="3"/>
  <c r="AF33" i="3"/>
  <c r="AA34" i="3"/>
  <c r="AB33" i="3"/>
  <c r="AE99" i="3"/>
  <c r="AF98" i="3"/>
  <c r="AG98" i="3" s="1"/>
  <c r="AG32" i="3"/>
  <c r="AC100" i="3"/>
  <c r="AD99" i="3"/>
  <c r="AB108" i="3"/>
  <c r="AA109" i="3"/>
  <c r="Y34" i="3"/>
  <c r="Z33" i="3"/>
  <c r="Y108" i="3"/>
  <c r="Z108" i="3" s="1"/>
  <c r="AE100" i="3" l="1"/>
  <c r="AF99" i="3"/>
  <c r="Y35" i="3"/>
  <c r="Z34" i="3"/>
  <c r="AA35" i="3"/>
  <c r="AB34" i="3"/>
  <c r="AC101" i="3"/>
  <c r="AD100" i="3"/>
  <c r="AB109" i="3"/>
  <c r="AA110" i="3"/>
  <c r="AG99" i="3"/>
  <c r="AE35" i="3"/>
  <c r="AF34" i="3"/>
  <c r="AG33" i="3"/>
  <c r="AC35" i="3"/>
  <c r="AD34" i="3"/>
  <c r="Y109" i="3"/>
  <c r="Z109" i="3" s="1"/>
  <c r="AC102" i="3" l="1"/>
  <c r="AD101" i="3"/>
  <c r="AG34" i="3"/>
  <c r="AC36" i="3"/>
  <c r="AD35" i="3"/>
  <c r="AE36" i="3"/>
  <c r="AF35" i="3"/>
  <c r="Y36" i="3"/>
  <c r="Z35" i="3"/>
  <c r="AB110" i="3"/>
  <c r="AA111" i="3"/>
  <c r="AG100" i="3"/>
  <c r="AA36" i="3"/>
  <c r="AB35" i="3"/>
  <c r="AE101" i="3"/>
  <c r="AF100" i="3"/>
  <c r="Y110" i="3"/>
  <c r="Z110" i="3" s="1"/>
  <c r="AC37" i="3" l="1"/>
  <c r="AD36" i="3"/>
  <c r="Y37" i="3"/>
  <c r="Z36" i="3"/>
  <c r="AA37" i="3"/>
  <c r="AB36" i="3"/>
  <c r="AE37" i="3"/>
  <c r="AF36" i="3"/>
  <c r="AB111" i="3"/>
  <c r="AA112" i="3"/>
  <c r="AE102" i="3"/>
  <c r="AF101" i="3"/>
  <c r="AG101" i="3" s="1"/>
  <c r="AG35" i="3"/>
  <c r="AC103" i="3"/>
  <c r="AD102" i="3"/>
  <c r="Y111" i="3"/>
  <c r="Z111" i="3" s="1"/>
  <c r="AC38" i="3" l="1"/>
  <c r="AD38" i="3" s="1"/>
  <c r="AD37" i="3"/>
  <c r="AE38" i="3"/>
  <c r="AF37" i="3"/>
  <c r="AG36" i="3"/>
  <c r="AC104" i="3"/>
  <c r="AD103" i="3"/>
  <c r="AA38" i="3"/>
  <c r="AB37" i="3"/>
  <c r="Y38" i="3"/>
  <c r="Z38" i="3" s="1"/>
  <c r="Z37" i="3"/>
  <c r="AG37" i="3" s="1"/>
  <c r="AE103" i="3"/>
  <c r="AF102" i="3"/>
  <c r="AG102" i="3" s="1"/>
  <c r="AB112" i="3"/>
  <c r="AA113" i="3"/>
  <c r="AB113" i="3" s="1"/>
  <c r="Y112" i="3"/>
  <c r="Z112" i="3" s="1"/>
  <c r="AE104" i="3" l="1"/>
  <c r="AF103" i="3"/>
  <c r="AG103" i="3"/>
  <c r="AE39" i="3"/>
  <c r="AF38" i="3"/>
  <c r="AC105" i="3"/>
  <c r="AD104" i="3"/>
  <c r="AG38" i="3"/>
  <c r="AA39" i="3"/>
  <c r="AB38" i="3"/>
  <c r="Y113" i="3"/>
  <c r="AE105" i="3" l="1"/>
  <c r="AF104" i="3"/>
  <c r="AG104" i="3" s="1"/>
  <c r="Z113" i="3"/>
  <c r="AC106" i="3"/>
  <c r="AD105" i="3"/>
  <c r="AE40" i="3"/>
  <c r="AF39" i="3"/>
  <c r="AA40" i="3"/>
  <c r="AB39" i="3"/>
  <c r="AG39" i="3" s="1"/>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X99" i="3" l="1"/>
  <c r="AJ99" i="3" s="1"/>
  <c r="U102" i="3"/>
  <c r="V102" i="3" s="1"/>
  <c r="X107" i="3"/>
  <c r="U110" i="3"/>
  <c r="V110" i="3" s="1"/>
  <c r="X15" i="3"/>
  <c r="X23" i="3"/>
  <c r="X31" i="3"/>
  <c r="X39" i="3"/>
  <c r="X47" i="3"/>
  <c r="X55" i="3"/>
  <c r="X63" i="3"/>
  <c r="X71" i="3"/>
  <c r="X79" i="3"/>
  <c r="X87" i="3"/>
  <c r="X12" i="3"/>
  <c r="X52" i="3"/>
  <c r="X92" i="3"/>
  <c r="X77" i="3"/>
  <c r="U97" i="3"/>
  <c r="V97" i="3" s="1"/>
  <c r="X102" i="3"/>
  <c r="AJ102" i="3" s="1"/>
  <c r="U105" i="3"/>
  <c r="V105" i="3" s="1"/>
  <c r="X110" i="3"/>
  <c r="U113" i="3"/>
  <c r="V113" i="3" s="1"/>
  <c r="X16" i="3"/>
  <c r="X24" i="3"/>
  <c r="X32" i="3"/>
  <c r="X40" i="3"/>
  <c r="X48" i="3"/>
  <c r="X56" i="3"/>
  <c r="X64" i="3"/>
  <c r="X72" i="3"/>
  <c r="X80" i="3"/>
  <c r="X88" i="3"/>
  <c r="X103" i="3"/>
  <c r="AJ103" i="3" s="1"/>
  <c r="X11" i="3"/>
  <c r="X35" i="3"/>
  <c r="X59" i="3"/>
  <c r="X83" i="3"/>
  <c r="X98" i="3"/>
  <c r="AJ98" i="3" s="1"/>
  <c r="X36" i="3"/>
  <c r="X68" i="3"/>
  <c r="X53" i="3"/>
  <c r="X97" i="3"/>
  <c r="AJ97" i="3" s="1"/>
  <c r="U100" i="3"/>
  <c r="V100" i="3" s="1"/>
  <c r="X105" i="3"/>
  <c r="U108" i="3"/>
  <c r="V108" i="3" s="1"/>
  <c r="X113" i="3"/>
  <c r="X17" i="3"/>
  <c r="X25" i="3"/>
  <c r="X33" i="3"/>
  <c r="X41" i="3"/>
  <c r="X49" i="3"/>
  <c r="X57" i="3"/>
  <c r="X65" i="3"/>
  <c r="X73" i="3"/>
  <c r="X81" i="3"/>
  <c r="X89" i="3"/>
  <c r="X95" i="3"/>
  <c r="AJ95" i="3" s="1"/>
  <c r="U106" i="3"/>
  <c r="V106" i="3" s="1"/>
  <c r="X19" i="3"/>
  <c r="X43" i="3"/>
  <c r="X67" i="3"/>
  <c r="X106" i="3"/>
  <c r="X28" i="3"/>
  <c r="X76" i="3"/>
  <c r="X61" i="3"/>
  <c r="U95" i="3"/>
  <c r="V95" i="3" s="1"/>
  <c r="X100" i="3"/>
  <c r="AJ100" i="3" s="1"/>
  <c r="U103" i="3"/>
  <c r="V103" i="3" s="1"/>
  <c r="X108" i="3"/>
  <c r="U111" i="3"/>
  <c r="V111" i="3" s="1"/>
  <c r="X18" i="3"/>
  <c r="X26" i="3"/>
  <c r="X34" i="3"/>
  <c r="X42" i="3"/>
  <c r="X50" i="3"/>
  <c r="X58" i="3"/>
  <c r="X66" i="3"/>
  <c r="X74" i="3"/>
  <c r="X82" i="3"/>
  <c r="X90" i="3"/>
  <c r="U98" i="3"/>
  <c r="V98" i="3" s="1"/>
  <c r="X111" i="3"/>
  <c r="X27" i="3"/>
  <c r="X51" i="3"/>
  <c r="X75" i="3"/>
  <c r="X91" i="3"/>
  <c r="U101" i="3"/>
  <c r="V101" i="3" s="1"/>
  <c r="U109" i="3"/>
  <c r="V109" i="3" s="1"/>
  <c r="X44" i="3"/>
  <c r="X84" i="3"/>
  <c r="X93" i="3"/>
  <c r="U96" i="3"/>
  <c r="V96" i="3" s="1"/>
  <c r="X101" i="3"/>
  <c r="AJ101" i="3" s="1"/>
  <c r="U104" i="3"/>
  <c r="V104" i="3" s="1"/>
  <c r="X109" i="3"/>
  <c r="U112" i="3"/>
  <c r="V112" i="3" s="1"/>
  <c r="X13" i="3"/>
  <c r="X21" i="3"/>
  <c r="X29" i="3"/>
  <c r="X37" i="3"/>
  <c r="X45" i="3"/>
  <c r="X85" i="3"/>
  <c r="X96" i="3"/>
  <c r="AJ96" i="3" s="1"/>
  <c r="U99" i="3"/>
  <c r="V99" i="3" s="1"/>
  <c r="X104" i="3"/>
  <c r="AJ104" i="3" s="1"/>
  <c r="U107" i="3"/>
  <c r="V107" i="3" s="1"/>
  <c r="X112" i="3"/>
  <c r="X14" i="3"/>
  <c r="X22" i="3"/>
  <c r="X30" i="3"/>
  <c r="X38" i="3"/>
  <c r="X46" i="3"/>
  <c r="X54" i="3"/>
  <c r="X62" i="3"/>
  <c r="X70" i="3"/>
  <c r="X78" i="3"/>
  <c r="X86" i="3"/>
  <c r="X94" i="3"/>
  <c r="X20" i="3"/>
  <c r="X60" i="3"/>
  <c r="X69" i="3"/>
  <c r="AE41" i="3"/>
  <c r="AF40" i="3"/>
  <c r="AG105" i="3"/>
  <c r="AC107" i="3"/>
  <c r="AD106" i="3"/>
  <c r="AA41" i="3"/>
  <c r="AB40" i="3"/>
  <c r="AE106" i="3"/>
  <c r="AF105" i="3"/>
  <c r="B115" i="3"/>
  <c r="C11" i="3"/>
  <c r="L11" i="3" s="1"/>
  <c r="C12" i="3"/>
  <c r="L12" i="3" s="1"/>
  <c r="C13" i="3"/>
  <c r="L13" i="3" s="1"/>
  <c r="C14" i="3"/>
  <c r="L14" i="3" s="1"/>
  <c r="C15" i="3"/>
  <c r="L15" i="3" s="1"/>
  <c r="C16" i="3"/>
  <c r="L16" i="3" s="1"/>
  <c r="C17" i="3"/>
  <c r="L17" i="3" s="1"/>
  <c r="C18" i="3"/>
  <c r="L18" i="3" s="1"/>
  <c r="C19" i="3"/>
  <c r="L19" i="3" s="1"/>
  <c r="C20" i="3"/>
  <c r="L20" i="3" s="1"/>
  <c r="C21" i="3"/>
  <c r="L21" i="3" s="1"/>
  <c r="C22" i="3"/>
  <c r="L22" i="3" s="1"/>
  <c r="C23" i="3"/>
  <c r="L23" i="3" s="1"/>
  <c r="C24" i="3"/>
  <c r="L24" i="3" s="1"/>
  <c r="C25" i="3"/>
  <c r="L25" i="3" s="1"/>
  <c r="C26" i="3"/>
  <c r="L26" i="3" s="1"/>
  <c r="C27" i="3"/>
  <c r="L27" i="3" s="1"/>
  <c r="C28" i="3"/>
  <c r="L28" i="3" s="1"/>
  <c r="C29" i="3"/>
  <c r="L29" i="3" s="1"/>
  <c r="C30" i="3"/>
  <c r="L30" i="3" s="1"/>
  <c r="C31" i="3"/>
  <c r="L31" i="3" s="1"/>
  <c r="C32" i="3"/>
  <c r="L32" i="3" s="1"/>
  <c r="C33" i="3"/>
  <c r="L33" i="3" s="1"/>
  <c r="C34" i="3"/>
  <c r="L34" i="3" s="1"/>
  <c r="C35" i="3"/>
  <c r="L35" i="3" s="1"/>
  <c r="C36" i="3"/>
  <c r="L36" i="3" s="1"/>
  <c r="C37" i="3"/>
  <c r="L37" i="3" s="1"/>
  <c r="C38" i="3"/>
  <c r="L38" i="3" s="1"/>
  <c r="C39" i="3"/>
  <c r="L39" i="3" s="1"/>
  <c r="C40" i="3"/>
  <c r="L40" i="3" s="1"/>
  <c r="C41" i="3"/>
  <c r="L41" i="3" s="1"/>
  <c r="C42" i="3"/>
  <c r="L42" i="3" s="1"/>
  <c r="C43" i="3"/>
  <c r="L43" i="3" s="1"/>
  <c r="C44" i="3"/>
  <c r="L44" i="3" s="1"/>
  <c r="C45" i="3"/>
  <c r="L45" i="3" s="1"/>
  <c r="C46" i="3"/>
  <c r="L46" i="3" s="1"/>
  <c r="C47" i="3"/>
  <c r="L47" i="3" s="1"/>
  <c r="C48" i="3"/>
  <c r="L48" i="3" s="1"/>
  <c r="C49" i="3"/>
  <c r="L49" i="3" s="1"/>
  <c r="C50" i="3"/>
  <c r="L50" i="3" s="1"/>
  <c r="C51" i="3"/>
  <c r="L51" i="3" s="1"/>
  <c r="C52" i="3"/>
  <c r="L52" i="3" s="1"/>
  <c r="C53" i="3"/>
  <c r="L53" i="3" s="1"/>
  <c r="C54" i="3"/>
  <c r="L54" i="3" s="1"/>
  <c r="C55" i="3"/>
  <c r="L55" i="3" s="1"/>
  <c r="C56" i="3"/>
  <c r="L56" i="3" s="1"/>
  <c r="C57" i="3"/>
  <c r="L57" i="3" s="1"/>
  <c r="C58" i="3"/>
  <c r="L58" i="3" s="1"/>
  <c r="C59" i="3"/>
  <c r="L59" i="3" s="1"/>
  <c r="C60" i="3"/>
  <c r="L60" i="3" s="1"/>
  <c r="C61" i="3"/>
  <c r="L61" i="3" s="1"/>
  <c r="C62" i="3"/>
  <c r="L62" i="3" s="1"/>
  <c r="C63" i="3"/>
  <c r="L63" i="3" s="1"/>
  <c r="C64" i="3"/>
  <c r="L64" i="3" s="1"/>
  <c r="C65" i="3"/>
  <c r="L65" i="3" s="1"/>
  <c r="C66" i="3"/>
  <c r="L66" i="3" s="1"/>
  <c r="C67" i="3"/>
  <c r="L67" i="3" s="1"/>
  <c r="C68" i="3"/>
  <c r="L68" i="3" s="1"/>
  <c r="C69" i="3"/>
  <c r="L69" i="3" s="1"/>
  <c r="C70" i="3"/>
  <c r="L70" i="3" s="1"/>
  <c r="C71" i="3"/>
  <c r="L71" i="3" s="1"/>
  <c r="C72" i="3"/>
  <c r="L72" i="3" s="1"/>
  <c r="C73" i="3"/>
  <c r="L73" i="3" s="1"/>
  <c r="C74" i="3"/>
  <c r="L74" i="3" s="1"/>
  <c r="C75" i="3"/>
  <c r="L75" i="3" s="1"/>
  <c r="C76" i="3"/>
  <c r="L76" i="3" s="1"/>
  <c r="C77" i="3"/>
  <c r="L77" i="3" s="1"/>
  <c r="C78" i="3"/>
  <c r="L78" i="3" s="1"/>
  <c r="C79" i="3"/>
  <c r="L79" i="3" s="1"/>
  <c r="C80" i="3"/>
  <c r="L80" i="3" s="1"/>
  <c r="C81" i="3"/>
  <c r="L81" i="3" s="1"/>
  <c r="C82" i="3"/>
  <c r="L82" i="3" s="1"/>
  <c r="C83" i="3"/>
  <c r="L83" i="3" s="1"/>
  <c r="C84" i="3"/>
  <c r="L84" i="3" s="1"/>
  <c r="C85" i="3"/>
  <c r="L85" i="3" s="1"/>
  <c r="C86" i="3"/>
  <c r="L86" i="3" s="1"/>
  <c r="C87" i="3"/>
  <c r="L87" i="3" s="1"/>
  <c r="C88" i="3"/>
  <c r="L88" i="3" s="1"/>
  <c r="C89" i="3"/>
  <c r="L89" i="3" s="1"/>
  <c r="C90" i="3"/>
  <c r="L90" i="3" s="1"/>
  <c r="C91" i="3"/>
  <c r="L91" i="3" s="1"/>
  <c r="C92" i="3"/>
  <c r="L92" i="3" s="1"/>
  <c r="C93" i="3"/>
  <c r="L93" i="3" s="1"/>
  <c r="C94" i="3"/>
  <c r="L94" i="3" s="1"/>
  <c r="C95" i="3"/>
  <c r="L95" i="3" s="1"/>
  <c r="O95" i="3" s="1"/>
  <c r="C96" i="3"/>
  <c r="L96" i="3" s="1"/>
  <c r="O96" i="3" s="1"/>
  <c r="C97" i="3"/>
  <c r="L97" i="3" s="1"/>
  <c r="O97" i="3" s="1"/>
  <c r="C98" i="3"/>
  <c r="L98" i="3" s="1"/>
  <c r="O98" i="3" s="1"/>
  <c r="C99" i="3"/>
  <c r="L99" i="3" s="1"/>
  <c r="O99" i="3" s="1"/>
  <c r="C100" i="3"/>
  <c r="L100" i="3" s="1"/>
  <c r="O100" i="3" s="1"/>
  <c r="C101" i="3"/>
  <c r="L101" i="3" s="1"/>
  <c r="O101" i="3" s="1"/>
  <c r="C102" i="3"/>
  <c r="L102" i="3" s="1"/>
  <c r="O102" i="3" s="1"/>
  <c r="C103" i="3"/>
  <c r="L103" i="3" s="1"/>
  <c r="O103" i="3" s="1"/>
  <c r="C104" i="3"/>
  <c r="L104" i="3" s="1"/>
  <c r="O104" i="3" s="1"/>
  <c r="C105" i="3"/>
  <c r="L105" i="3" s="1"/>
  <c r="O105" i="3" s="1"/>
  <c r="C106" i="3"/>
  <c r="L106" i="3" s="1"/>
  <c r="O106" i="3" s="1"/>
  <c r="C107" i="3"/>
  <c r="L107" i="3" s="1"/>
  <c r="O107" i="3" s="1"/>
  <c r="C108" i="3"/>
  <c r="L108" i="3" s="1"/>
  <c r="O108" i="3" s="1"/>
  <c r="C109" i="3"/>
  <c r="L109" i="3" s="1"/>
  <c r="O109" i="3" s="1"/>
  <c r="C110" i="3"/>
  <c r="L110" i="3" s="1"/>
  <c r="O110" i="3" s="1"/>
  <c r="C111" i="3"/>
  <c r="L111" i="3" s="1"/>
  <c r="O111" i="3" s="1"/>
  <c r="C112" i="3"/>
  <c r="L112" i="3" s="1"/>
  <c r="O112" i="3" s="1"/>
  <c r="AC108" i="3" l="1"/>
  <c r="AD107" i="3"/>
  <c r="AE107" i="3"/>
  <c r="AF106" i="3"/>
  <c r="AG106" i="3" s="1"/>
  <c r="AJ106" i="3" s="1"/>
  <c r="AE42" i="3"/>
  <c r="AF41" i="3"/>
  <c r="AJ105" i="3"/>
  <c r="AG40" i="3"/>
  <c r="AA42" i="3"/>
  <c r="AB41" i="3"/>
  <c r="AG41" i="3" s="1"/>
  <c r="P112" i="3"/>
  <c r="Q112" i="3" s="1"/>
  <c r="P110" i="3"/>
  <c r="Q110" i="3" s="1"/>
  <c r="P108" i="3"/>
  <c r="Q108" i="3" s="1"/>
  <c r="P106" i="3"/>
  <c r="Q106" i="3" s="1"/>
  <c r="P104" i="3"/>
  <c r="Q104" i="3" s="1"/>
  <c r="P102" i="3"/>
  <c r="Q102" i="3" s="1"/>
  <c r="P100" i="3"/>
  <c r="Q100" i="3" s="1"/>
  <c r="P98" i="3"/>
  <c r="Q98" i="3" s="1"/>
  <c r="P96" i="3"/>
  <c r="Q96" i="3" s="1"/>
  <c r="P111" i="3"/>
  <c r="Q111" i="3" s="1"/>
  <c r="P109" i="3"/>
  <c r="Q109" i="3" s="1"/>
  <c r="P107" i="3"/>
  <c r="Q107" i="3" s="1"/>
  <c r="P105" i="3"/>
  <c r="Q105" i="3" s="1"/>
  <c r="P103" i="3"/>
  <c r="Q103" i="3" s="1"/>
  <c r="P101" i="3"/>
  <c r="Q101" i="3" s="1"/>
  <c r="P99" i="3"/>
  <c r="Q99" i="3" s="1"/>
  <c r="P97" i="3"/>
  <c r="Q97" i="3" s="1"/>
  <c r="P95" i="3"/>
  <c r="Q95" i="3" s="1"/>
  <c r="C115" i="3"/>
  <c r="AE108" i="3" l="1"/>
  <c r="AF107" i="3"/>
  <c r="AA43" i="3"/>
  <c r="AB42" i="3"/>
  <c r="AG107" i="3"/>
  <c r="AJ107" i="3" s="1"/>
  <c r="AE43" i="3"/>
  <c r="AF42" i="3"/>
  <c r="AC109" i="3"/>
  <c r="AD108" i="3"/>
  <c r="AM40" i="3"/>
  <c r="AN40" i="3" s="1"/>
  <c r="AM38" i="3"/>
  <c r="AN38" i="3" s="1"/>
  <c r="AM36" i="3"/>
  <c r="AN36" i="3" s="1"/>
  <c r="AM34" i="3"/>
  <c r="AN34" i="3" s="1"/>
  <c r="AM32" i="3"/>
  <c r="AN32" i="3" s="1"/>
  <c r="AM30" i="3"/>
  <c r="AN30" i="3" s="1"/>
  <c r="AM28" i="3"/>
  <c r="AN28" i="3" s="1"/>
  <c r="AM26" i="3"/>
  <c r="AN26" i="3" s="1"/>
  <c r="AM24" i="3"/>
  <c r="AN24" i="3" s="1"/>
  <c r="AM22" i="3"/>
  <c r="AN22" i="3" s="1"/>
  <c r="AM20" i="3"/>
  <c r="AN20" i="3" s="1"/>
  <c r="AM18" i="3"/>
  <c r="AN18" i="3" s="1"/>
  <c r="AM16" i="3"/>
  <c r="AN16" i="3" s="1"/>
  <c r="AM14" i="3"/>
  <c r="AN14" i="3" s="1"/>
  <c r="AM12" i="3"/>
  <c r="AN12" i="3" s="1"/>
  <c r="AM41" i="3"/>
  <c r="AN41" i="3" s="1"/>
  <c r="AM39" i="3"/>
  <c r="AN39" i="3" s="1"/>
  <c r="AM37" i="3"/>
  <c r="AN37" i="3" s="1"/>
  <c r="AM35" i="3"/>
  <c r="AN35" i="3" s="1"/>
  <c r="AM33" i="3"/>
  <c r="AN33" i="3" s="1"/>
  <c r="AM31" i="3"/>
  <c r="AN31" i="3" s="1"/>
  <c r="AM29" i="3"/>
  <c r="AN29" i="3" s="1"/>
  <c r="AM27" i="3"/>
  <c r="AN27" i="3" s="1"/>
  <c r="AM25" i="3"/>
  <c r="AN25" i="3" s="1"/>
  <c r="AM23" i="3"/>
  <c r="AN23" i="3" s="1"/>
  <c r="AM21" i="3"/>
  <c r="AN21" i="3" s="1"/>
  <c r="AM19" i="3"/>
  <c r="AN19" i="3" s="1"/>
  <c r="AM17" i="3"/>
  <c r="AN17" i="3" s="1"/>
  <c r="AM15" i="3"/>
  <c r="AN15" i="3" s="1"/>
  <c r="AM13" i="3"/>
  <c r="AN13" i="3" s="1"/>
  <c r="AM11" i="3"/>
  <c r="AN11" i="3" s="1"/>
  <c r="H46" i="6"/>
  <c r="AE44" i="3" l="1"/>
  <c r="AF43" i="3"/>
  <c r="AA44" i="3"/>
  <c r="AB43" i="3"/>
  <c r="AG43" i="3" s="1"/>
  <c r="AM43" i="3" s="1"/>
  <c r="AN43" i="3" s="1"/>
  <c r="AC110" i="3"/>
  <c r="AD109" i="3"/>
  <c r="AG42" i="3"/>
  <c r="AM42" i="3" s="1"/>
  <c r="AN42" i="3" s="1"/>
  <c r="AG108" i="3"/>
  <c r="AJ108" i="3" s="1"/>
  <c r="AE109" i="3"/>
  <c r="AF108" i="3"/>
  <c r="O11" i="3"/>
  <c r="R11" i="3" s="1"/>
  <c r="U11" i="3"/>
  <c r="V11" i="3" s="1"/>
  <c r="W11" i="3" s="1"/>
  <c r="O12" i="3"/>
  <c r="U12" i="3"/>
  <c r="V12" i="3" s="1"/>
  <c r="O13" i="3"/>
  <c r="P13" i="3" s="1"/>
  <c r="Q13" i="3" s="1"/>
  <c r="U13" i="3"/>
  <c r="V13" i="3" s="1"/>
  <c r="O14" i="3"/>
  <c r="U14" i="3"/>
  <c r="V14" i="3" s="1"/>
  <c r="O15" i="3"/>
  <c r="U15" i="3"/>
  <c r="V15" i="3" s="1"/>
  <c r="O16" i="3"/>
  <c r="P16" i="3" s="1"/>
  <c r="Q16" i="3" s="1"/>
  <c r="U16" i="3"/>
  <c r="V16" i="3" s="1"/>
  <c r="O17" i="3"/>
  <c r="P17" i="3" s="1"/>
  <c r="Q17" i="3" s="1"/>
  <c r="U17" i="3"/>
  <c r="V17" i="3" s="1"/>
  <c r="O18" i="3"/>
  <c r="U18" i="3"/>
  <c r="V18" i="3" s="1"/>
  <c r="O19" i="3"/>
  <c r="U19" i="3"/>
  <c r="V19" i="3" s="1"/>
  <c r="O20" i="3"/>
  <c r="P20" i="3" s="1"/>
  <c r="Q20" i="3" s="1"/>
  <c r="U20" i="3"/>
  <c r="V20" i="3" s="1"/>
  <c r="O21" i="3"/>
  <c r="P21" i="3" s="1"/>
  <c r="Q21" i="3" s="1"/>
  <c r="U21" i="3"/>
  <c r="V21" i="3" s="1"/>
  <c r="O22" i="3"/>
  <c r="U22" i="3"/>
  <c r="V22" i="3" s="1"/>
  <c r="O23" i="3"/>
  <c r="U23" i="3"/>
  <c r="V23" i="3" s="1"/>
  <c r="O24" i="3"/>
  <c r="P24" i="3" s="1"/>
  <c r="Q24" i="3" s="1"/>
  <c r="U24" i="3"/>
  <c r="V24" i="3" s="1"/>
  <c r="O25" i="3"/>
  <c r="P25" i="3" s="1"/>
  <c r="Q25" i="3" s="1"/>
  <c r="U25" i="3"/>
  <c r="V25" i="3" s="1"/>
  <c r="O26" i="3"/>
  <c r="U26" i="3"/>
  <c r="V26" i="3" s="1"/>
  <c r="O27" i="3"/>
  <c r="U27" i="3"/>
  <c r="V27" i="3" s="1"/>
  <c r="O28" i="3"/>
  <c r="P28" i="3" s="1"/>
  <c r="Q28" i="3" s="1"/>
  <c r="U28" i="3"/>
  <c r="V28" i="3" s="1"/>
  <c r="O29" i="3"/>
  <c r="P29" i="3" s="1"/>
  <c r="Q29" i="3" s="1"/>
  <c r="U29" i="3"/>
  <c r="V29" i="3" s="1"/>
  <c r="O30" i="3"/>
  <c r="U30" i="3"/>
  <c r="V30" i="3" s="1"/>
  <c r="O31" i="3"/>
  <c r="U31" i="3"/>
  <c r="V31" i="3" s="1"/>
  <c r="O32" i="3"/>
  <c r="P32" i="3" s="1"/>
  <c r="Q32" i="3" s="1"/>
  <c r="U32" i="3"/>
  <c r="V32" i="3" s="1"/>
  <c r="O33" i="3"/>
  <c r="P33" i="3" s="1"/>
  <c r="Q33" i="3" s="1"/>
  <c r="U33" i="3"/>
  <c r="V33" i="3" s="1"/>
  <c r="O34" i="3"/>
  <c r="U34" i="3"/>
  <c r="V34" i="3" s="1"/>
  <c r="O35" i="3"/>
  <c r="U35" i="3"/>
  <c r="V35" i="3" s="1"/>
  <c r="O36" i="3"/>
  <c r="P36" i="3" s="1"/>
  <c r="Q36" i="3" s="1"/>
  <c r="U36" i="3"/>
  <c r="V36" i="3" s="1"/>
  <c r="O37" i="3"/>
  <c r="P37" i="3" s="1"/>
  <c r="Q37" i="3" s="1"/>
  <c r="U37" i="3"/>
  <c r="V37" i="3" s="1"/>
  <c r="O38" i="3"/>
  <c r="U38" i="3"/>
  <c r="V38" i="3" s="1"/>
  <c r="O39" i="3"/>
  <c r="U39" i="3"/>
  <c r="V39" i="3" s="1"/>
  <c r="O40" i="3"/>
  <c r="P40" i="3" s="1"/>
  <c r="Q40" i="3" s="1"/>
  <c r="U40" i="3"/>
  <c r="V40" i="3" s="1"/>
  <c r="O41" i="3"/>
  <c r="P41" i="3" s="1"/>
  <c r="Q41" i="3" s="1"/>
  <c r="U41" i="3"/>
  <c r="V41" i="3" s="1"/>
  <c r="O42" i="3"/>
  <c r="U42" i="3"/>
  <c r="V42" i="3" s="1"/>
  <c r="O43" i="3"/>
  <c r="U43" i="3"/>
  <c r="V43" i="3" s="1"/>
  <c r="O44" i="3"/>
  <c r="P44" i="3" s="1"/>
  <c r="Q44" i="3" s="1"/>
  <c r="U44" i="3"/>
  <c r="V44" i="3" s="1"/>
  <c r="O45" i="3"/>
  <c r="P45" i="3" s="1"/>
  <c r="Q45" i="3" s="1"/>
  <c r="U45" i="3"/>
  <c r="V45" i="3" s="1"/>
  <c r="O46" i="3"/>
  <c r="P46" i="3" s="1"/>
  <c r="Q46" i="3" s="1"/>
  <c r="U46" i="3"/>
  <c r="V46" i="3" s="1"/>
  <c r="O47" i="3"/>
  <c r="P47" i="3" s="1"/>
  <c r="Q47" i="3" s="1"/>
  <c r="U47" i="3"/>
  <c r="V47" i="3" s="1"/>
  <c r="O48" i="3"/>
  <c r="U48" i="3"/>
  <c r="V48" i="3" s="1"/>
  <c r="O49" i="3"/>
  <c r="P49" i="3" s="1"/>
  <c r="Q49" i="3" s="1"/>
  <c r="U49" i="3"/>
  <c r="V49" i="3" s="1"/>
  <c r="O50" i="3"/>
  <c r="P50" i="3" s="1"/>
  <c r="Q50" i="3" s="1"/>
  <c r="U50" i="3"/>
  <c r="V50" i="3" s="1"/>
  <c r="O51" i="3"/>
  <c r="P51" i="3" s="1"/>
  <c r="Q51" i="3" s="1"/>
  <c r="U51" i="3"/>
  <c r="V51" i="3" s="1"/>
  <c r="O52" i="3"/>
  <c r="U52" i="3"/>
  <c r="V52" i="3" s="1"/>
  <c r="O53" i="3"/>
  <c r="P53" i="3" s="1"/>
  <c r="Q53" i="3" s="1"/>
  <c r="U53" i="3"/>
  <c r="V53" i="3" s="1"/>
  <c r="O54" i="3"/>
  <c r="P54" i="3" s="1"/>
  <c r="Q54" i="3" s="1"/>
  <c r="U54" i="3"/>
  <c r="V54" i="3" s="1"/>
  <c r="O55" i="3"/>
  <c r="P55" i="3" s="1"/>
  <c r="Q55" i="3" s="1"/>
  <c r="U55" i="3"/>
  <c r="V55" i="3" s="1"/>
  <c r="O56" i="3"/>
  <c r="U56" i="3"/>
  <c r="V56" i="3" s="1"/>
  <c r="O57" i="3"/>
  <c r="P57" i="3" s="1"/>
  <c r="Q57" i="3" s="1"/>
  <c r="U57" i="3"/>
  <c r="V57" i="3" s="1"/>
  <c r="O58" i="3"/>
  <c r="P58" i="3" s="1"/>
  <c r="Q58" i="3" s="1"/>
  <c r="U58" i="3"/>
  <c r="V58" i="3" s="1"/>
  <c r="O59" i="3"/>
  <c r="P59" i="3" s="1"/>
  <c r="Q59" i="3" s="1"/>
  <c r="U59" i="3"/>
  <c r="V59" i="3" s="1"/>
  <c r="O60" i="3"/>
  <c r="U60" i="3"/>
  <c r="V60" i="3" s="1"/>
  <c r="O61" i="3"/>
  <c r="P61" i="3" s="1"/>
  <c r="Q61" i="3" s="1"/>
  <c r="U61" i="3"/>
  <c r="V61" i="3" s="1"/>
  <c r="O62" i="3"/>
  <c r="P62" i="3" s="1"/>
  <c r="Q62" i="3" s="1"/>
  <c r="U62" i="3"/>
  <c r="V62" i="3" s="1"/>
  <c r="O63" i="3"/>
  <c r="P63" i="3" s="1"/>
  <c r="Q63" i="3" s="1"/>
  <c r="U63" i="3"/>
  <c r="V63" i="3" s="1"/>
  <c r="O64" i="3"/>
  <c r="U64" i="3"/>
  <c r="V64" i="3" s="1"/>
  <c r="O65" i="3"/>
  <c r="P65" i="3" s="1"/>
  <c r="Q65" i="3" s="1"/>
  <c r="U65" i="3"/>
  <c r="V65" i="3" s="1"/>
  <c r="O66" i="3"/>
  <c r="P66" i="3" s="1"/>
  <c r="Q66" i="3" s="1"/>
  <c r="U66" i="3"/>
  <c r="V66" i="3" s="1"/>
  <c r="O67" i="3"/>
  <c r="P67" i="3" s="1"/>
  <c r="Q67" i="3" s="1"/>
  <c r="U67" i="3"/>
  <c r="V67" i="3" s="1"/>
  <c r="O68" i="3"/>
  <c r="U68" i="3"/>
  <c r="V68" i="3" s="1"/>
  <c r="O69" i="3"/>
  <c r="P69" i="3" s="1"/>
  <c r="Q69" i="3" s="1"/>
  <c r="U69" i="3"/>
  <c r="V69" i="3" s="1"/>
  <c r="O70" i="3"/>
  <c r="P70" i="3" s="1"/>
  <c r="Q70" i="3" s="1"/>
  <c r="U70" i="3"/>
  <c r="V70" i="3" s="1"/>
  <c r="O71" i="3"/>
  <c r="P71" i="3" s="1"/>
  <c r="Q71" i="3" s="1"/>
  <c r="U71" i="3"/>
  <c r="V71" i="3" s="1"/>
  <c r="O72" i="3"/>
  <c r="U72" i="3"/>
  <c r="V72" i="3" s="1"/>
  <c r="O73" i="3"/>
  <c r="P73" i="3" s="1"/>
  <c r="Q73" i="3" s="1"/>
  <c r="U73" i="3"/>
  <c r="V73" i="3" s="1"/>
  <c r="O74" i="3"/>
  <c r="P74" i="3" s="1"/>
  <c r="Q74" i="3" s="1"/>
  <c r="U74" i="3"/>
  <c r="V74" i="3" s="1"/>
  <c r="O75" i="3"/>
  <c r="P75" i="3" s="1"/>
  <c r="Q75" i="3" s="1"/>
  <c r="U75" i="3"/>
  <c r="V75" i="3" s="1"/>
  <c r="O76" i="3"/>
  <c r="U76" i="3"/>
  <c r="V76" i="3" s="1"/>
  <c r="O77" i="3"/>
  <c r="P77" i="3" s="1"/>
  <c r="Q77" i="3" s="1"/>
  <c r="U77" i="3"/>
  <c r="V77" i="3" s="1"/>
  <c r="O78" i="3"/>
  <c r="P78" i="3" s="1"/>
  <c r="Q78" i="3" s="1"/>
  <c r="U78" i="3"/>
  <c r="V78" i="3" s="1"/>
  <c r="O79" i="3"/>
  <c r="P79" i="3" s="1"/>
  <c r="Q79" i="3" s="1"/>
  <c r="U79" i="3"/>
  <c r="V79" i="3" s="1"/>
  <c r="O80" i="3"/>
  <c r="U80" i="3"/>
  <c r="V80" i="3" s="1"/>
  <c r="O81" i="3"/>
  <c r="P81" i="3" s="1"/>
  <c r="Q81" i="3" s="1"/>
  <c r="U81" i="3"/>
  <c r="V81" i="3" s="1"/>
  <c r="O82" i="3"/>
  <c r="P82" i="3" s="1"/>
  <c r="Q82" i="3" s="1"/>
  <c r="U82" i="3"/>
  <c r="V82" i="3" s="1"/>
  <c r="O83" i="3"/>
  <c r="P83" i="3" s="1"/>
  <c r="Q83" i="3" s="1"/>
  <c r="U83" i="3"/>
  <c r="V83" i="3" s="1"/>
  <c r="O84" i="3"/>
  <c r="U84" i="3"/>
  <c r="V84" i="3" s="1"/>
  <c r="O85" i="3"/>
  <c r="P85" i="3" s="1"/>
  <c r="Q85" i="3" s="1"/>
  <c r="U85" i="3"/>
  <c r="V85" i="3" s="1"/>
  <c r="O86" i="3"/>
  <c r="P86" i="3" s="1"/>
  <c r="Q86" i="3" s="1"/>
  <c r="U86" i="3"/>
  <c r="V86" i="3" s="1"/>
  <c r="O87" i="3"/>
  <c r="P87" i="3" s="1"/>
  <c r="Q87" i="3" s="1"/>
  <c r="U87" i="3"/>
  <c r="V87" i="3" s="1"/>
  <c r="O88" i="3"/>
  <c r="U88" i="3"/>
  <c r="V88" i="3" s="1"/>
  <c r="O89" i="3"/>
  <c r="P89" i="3" s="1"/>
  <c r="Q89" i="3" s="1"/>
  <c r="U89" i="3"/>
  <c r="V89" i="3" s="1"/>
  <c r="O90" i="3"/>
  <c r="P90" i="3" s="1"/>
  <c r="Q90" i="3" s="1"/>
  <c r="U90" i="3"/>
  <c r="V90" i="3" s="1"/>
  <c r="O91" i="3"/>
  <c r="P91" i="3" s="1"/>
  <c r="Q91" i="3" s="1"/>
  <c r="U91" i="3"/>
  <c r="V91" i="3" s="1"/>
  <c r="O92" i="3"/>
  <c r="U92" i="3"/>
  <c r="V92" i="3" s="1"/>
  <c r="O93" i="3"/>
  <c r="P93" i="3" s="1"/>
  <c r="Q93" i="3" s="1"/>
  <c r="U93" i="3"/>
  <c r="V93" i="3" s="1"/>
  <c r="O94" i="3"/>
  <c r="P94" i="3" s="1"/>
  <c r="Q94" i="3" s="1"/>
  <c r="U94" i="3"/>
  <c r="V94" i="3" s="1"/>
  <c r="AA45" i="3" l="1"/>
  <c r="AB44" i="3"/>
  <c r="AG44" i="3" s="1"/>
  <c r="AM44" i="3" s="1"/>
  <c r="AN44" i="3" s="1"/>
  <c r="AC111" i="3"/>
  <c r="AD110" i="3"/>
  <c r="AE110" i="3"/>
  <c r="AF109" i="3"/>
  <c r="AG109" i="3" s="1"/>
  <c r="AJ109" i="3" s="1"/>
  <c r="AE45" i="3"/>
  <c r="AF44" i="3"/>
  <c r="AP93" i="3"/>
  <c r="AP77" i="3"/>
  <c r="AP63" i="3"/>
  <c r="AP41" i="3"/>
  <c r="AP23" i="3"/>
  <c r="AP85" i="3"/>
  <c r="AP69" i="3"/>
  <c r="AP55" i="3"/>
  <c r="AP33" i="3"/>
  <c r="AP15" i="3"/>
  <c r="AP87" i="3"/>
  <c r="AP71" i="3"/>
  <c r="AP53" i="3"/>
  <c r="AP31" i="3"/>
  <c r="AP17" i="3"/>
  <c r="AP12" i="3"/>
  <c r="AQ12" i="3" s="1"/>
  <c r="AP79" i="3"/>
  <c r="AP61" i="3"/>
  <c r="AP39" i="3"/>
  <c r="AP25" i="3"/>
  <c r="AJ94" i="3"/>
  <c r="AJ92" i="3"/>
  <c r="AJ90" i="3"/>
  <c r="AJ88" i="3"/>
  <c r="AJ86" i="3"/>
  <c r="AJ84" i="3"/>
  <c r="AJ82" i="3"/>
  <c r="AJ80" i="3"/>
  <c r="AJ78" i="3"/>
  <c r="AJ76" i="3"/>
  <c r="AJ74" i="3"/>
  <c r="AJ72" i="3"/>
  <c r="AJ70" i="3"/>
  <c r="AJ68" i="3"/>
  <c r="AJ66" i="3"/>
  <c r="AJ64" i="3"/>
  <c r="AJ62" i="3"/>
  <c r="AJ60" i="3"/>
  <c r="AJ58" i="3"/>
  <c r="AJ56" i="3"/>
  <c r="AJ54" i="3"/>
  <c r="AJ52" i="3"/>
  <c r="AJ44" i="3"/>
  <c r="AJ42" i="3"/>
  <c r="AJ40" i="3"/>
  <c r="AJ38" i="3"/>
  <c r="AJ36" i="3"/>
  <c r="AJ34" i="3"/>
  <c r="AJ32" i="3"/>
  <c r="AJ30" i="3"/>
  <c r="AJ28" i="3"/>
  <c r="AJ26" i="3"/>
  <c r="AJ24" i="3"/>
  <c r="AJ22" i="3"/>
  <c r="AJ20" i="3"/>
  <c r="AJ18" i="3"/>
  <c r="AJ16" i="3"/>
  <c r="AJ14" i="3"/>
  <c r="AJ12" i="3"/>
  <c r="AJ93" i="3"/>
  <c r="AJ91" i="3"/>
  <c r="AJ89" i="3"/>
  <c r="AJ87" i="3"/>
  <c r="AJ85" i="3"/>
  <c r="AJ83" i="3"/>
  <c r="AJ81" i="3"/>
  <c r="AJ79" i="3"/>
  <c r="AJ77" i="3"/>
  <c r="AJ75" i="3"/>
  <c r="AJ73" i="3"/>
  <c r="AJ71" i="3"/>
  <c r="AJ69" i="3"/>
  <c r="AJ67" i="3"/>
  <c r="AJ65" i="3"/>
  <c r="AJ63" i="3"/>
  <c r="AJ61" i="3"/>
  <c r="AJ59" i="3"/>
  <c r="AJ57" i="3"/>
  <c r="AJ55" i="3"/>
  <c r="AJ53" i="3"/>
  <c r="AJ51" i="3"/>
  <c r="AJ43" i="3"/>
  <c r="AJ41" i="3"/>
  <c r="AJ39" i="3"/>
  <c r="AJ37" i="3"/>
  <c r="AJ35" i="3"/>
  <c r="AJ33" i="3"/>
  <c r="AJ31" i="3"/>
  <c r="AJ29" i="3"/>
  <c r="AJ27" i="3"/>
  <c r="AJ25" i="3"/>
  <c r="AJ23" i="3"/>
  <c r="AJ21" i="3"/>
  <c r="AJ19" i="3"/>
  <c r="AJ17" i="3"/>
  <c r="AJ15" i="3"/>
  <c r="AJ13" i="3"/>
  <c r="AJ11" i="3"/>
  <c r="P42" i="3"/>
  <c r="Q42" i="3" s="1"/>
  <c r="P39" i="3"/>
  <c r="Q39" i="3" s="1"/>
  <c r="P34" i="3"/>
  <c r="Q34" i="3" s="1"/>
  <c r="P31" i="3"/>
  <c r="Q31" i="3" s="1"/>
  <c r="P26" i="3"/>
  <c r="Q26" i="3" s="1"/>
  <c r="P23" i="3"/>
  <c r="Q23" i="3" s="1"/>
  <c r="P18" i="3"/>
  <c r="Q18" i="3" s="1"/>
  <c r="P15" i="3"/>
  <c r="Q15" i="3" s="1"/>
  <c r="P11" i="3"/>
  <c r="P92" i="3"/>
  <c r="Q92" i="3" s="1"/>
  <c r="P88" i="3"/>
  <c r="Q88" i="3" s="1"/>
  <c r="P84" i="3"/>
  <c r="Q84" i="3" s="1"/>
  <c r="P80" i="3"/>
  <c r="Q80" i="3" s="1"/>
  <c r="P76" i="3"/>
  <c r="Q76" i="3" s="1"/>
  <c r="P72" i="3"/>
  <c r="Q72" i="3" s="1"/>
  <c r="P68" i="3"/>
  <c r="Q68" i="3" s="1"/>
  <c r="P64" i="3"/>
  <c r="Q64" i="3" s="1"/>
  <c r="P60" i="3"/>
  <c r="Q60" i="3" s="1"/>
  <c r="P56" i="3"/>
  <c r="Q56" i="3" s="1"/>
  <c r="P52" i="3"/>
  <c r="Q52" i="3" s="1"/>
  <c r="P48" i="3"/>
  <c r="Q48" i="3" s="1"/>
  <c r="P43" i="3"/>
  <c r="Q43" i="3" s="1"/>
  <c r="P38" i="3"/>
  <c r="Q38" i="3" s="1"/>
  <c r="P35" i="3"/>
  <c r="Q35" i="3" s="1"/>
  <c r="P30" i="3"/>
  <c r="Q30" i="3" s="1"/>
  <c r="P27" i="3"/>
  <c r="Q27" i="3" s="1"/>
  <c r="P22" i="3"/>
  <c r="Q22" i="3" s="1"/>
  <c r="P19" i="3"/>
  <c r="Q19" i="3" s="1"/>
  <c r="P14" i="3"/>
  <c r="Q14" i="3" s="1"/>
  <c r="P12" i="3"/>
  <c r="Q12" i="3" s="1"/>
  <c r="AR31" i="3" l="1"/>
  <c r="AS31" i="3" s="1"/>
  <c r="AQ31" i="3"/>
  <c r="AR71" i="3"/>
  <c r="AS71" i="3" s="1"/>
  <c r="AQ71" i="3"/>
  <c r="AR17" i="3"/>
  <c r="AS17" i="3" s="1"/>
  <c r="AQ17" i="3"/>
  <c r="AR69" i="3"/>
  <c r="AS69" i="3" s="1"/>
  <c r="AQ69" i="3"/>
  <c r="AE46" i="3"/>
  <c r="AF45" i="3"/>
  <c r="AR53" i="3"/>
  <c r="AS53" i="3" s="1"/>
  <c r="AQ53" i="3"/>
  <c r="AR23" i="3"/>
  <c r="AS23" i="3" s="1"/>
  <c r="AQ23" i="3"/>
  <c r="AE111" i="3"/>
  <c r="AF110" i="3"/>
  <c r="AG110" i="3" s="1"/>
  <c r="AJ110" i="3" s="1"/>
  <c r="AR39" i="3"/>
  <c r="AS39" i="3" s="1"/>
  <c r="AQ39" i="3"/>
  <c r="AR87" i="3"/>
  <c r="AS87" i="3" s="1"/>
  <c r="AQ87" i="3"/>
  <c r="AR63" i="3"/>
  <c r="AS63" i="3" s="1"/>
  <c r="AQ63" i="3"/>
  <c r="AC112" i="3"/>
  <c r="AD111" i="3"/>
  <c r="AR85" i="3"/>
  <c r="AS85" i="3" s="1"/>
  <c r="AQ85" i="3"/>
  <c r="AR61" i="3"/>
  <c r="AS61" i="3" s="1"/>
  <c r="AQ61" i="3"/>
  <c r="AR15" i="3"/>
  <c r="AS15" i="3" s="1"/>
  <c r="AQ15" i="3"/>
  <c r="AR77" i="3"/>
  <c r="AS77" i="3" s="1"/>
  <c r="AQ77" i="3"/>
  <c r="AR41" i="3"/>
  <c r="AS41" i="3" s="1"/>
  <c r="AQ41" i="3"/>
  <c r="BE11" i="3"/>
  <c r="Q11" i="3"/>
  <c r="AR79" i="3"/>
  <c r="AS79" i="3" s="1"/>
  <c r="AQ79" i="3"/>
  <c r="AR33" i="3"/>
  <c r="AS33" i="3" s="1"/>
  <c r="AQ33" i="3"/>
  <c r="AR93" i="3"/>
  <c r="AS93" i="3" s="1"/>
  <c r="AQ93" i="3"/>
  <c r="AA46" i="3"/>
  <c r="AB45" i="3"/>
  <c r="AG45" i="3" s="1"/>
  <c r="AR25" i="3"/>
  <c r="AS25" i="3" s="1"/>
  <c r="AQ25" i="3"/>
  <c r="AR55" i="3"/>
  <c r="AS55" i="3" s="1"/>
  <c r="AQ55" i="3"/>
  <c r="AR12" i="3"/>
  <c r="AS12" i="3" s="1"/>
  <c r="AP11" i="3"/>
  <c r="AP20" i="3"/>
  <c r="AP28" i="3"/>
  <c r="AP36" i="3"/>
  <c r="AP44" i="3"/>
  <c r="AP18" i="3"/>
  <c r="AP34" i="3"/>
  <c r="AP14" i="3"/>
  <c r="AP30" i="3"/>
  <c r="AP60" i="3"/>
  <c r="AP64" i="3"/>
  <c r="AP76" i="3"/>
  <c r="AP80" i="3"/>
  <c r="AP92" i="3"/>
  <c r="AP21" i="3"/>
  <c r="AP37" i="3"/>
  <c r="AP57" i="3"/>
  <c r="AP65" i="3"/>
  <c r="AP73" i="3"/>
  <c r="AP81" i="3"/>
  <c r="AP89" i="3"/>
  <c r="AP27" i="3"/>
  <c r="AP43" i="3"/>
  <c r="AP16" i="3"/>
  <c r="AP24" i="3"/>
  <c r="AP32" i="3"/>
  <c r="AP40" i="3"/>
  <c r="AP26" i="3"/>
  <c r="AP42" i="3"/>
  <c r="AP54" i="3"/>
  <c r="AP58" i="3"/>
  <c r="AP62" i="3"/>
  <c r="AP66" i="3"/>
  <c r="AP70" i="3"/>
  <c r="AP74" i="3"/>
  <c r="AP78" i="3"/>
  <c r="AP82" i="3"/>
  <c r="AP86" i="3"/>
  <c r="AP90" i="3"/>
  <c r="AP94" i="3"/>
  <c r="AP22" i="3"/>
  <c r="AP38" i="3"/>
  <c r="AP52" i="3"/>
  <c r="AP56" i="3"/>
  <c r="AP68" i="3"/>
  <c r="AP72" i="3"/>
  <c r="AP84" i="3"/>
  <c r="AP88" i="3"/>
  <c r="AP13" i="3"/>
  <c r="AP29" i="3"/>
  <c r="AP51" i="3"/>
  <c r="AP59" i="3"/>
  <c r="AP67" i="3"/>
  <c r="AP75" i="3"/>
  <c r="AP83" i="3"/>
  <c r="AP91" i="3"/>
  <c r="AP19" i="3"/>
  <c r="AP35" i="3"/>
  <c r="M82" i="6"/>
  <c r="AR13" i="3" l="1"/>
  <c r="AS13" i="3" s="1"/>
  <c r="AQ13" i="3"/>
  <c r="AR73" i="3"/>
  <c r="AS73" i="3" s="1"/>
  <c r="AQ73" i="3"/>
  <c r="AR83" i="3"/>
  <c r="AS83" i="3" s="1"/>
  <c r="AQ83" i="3"/>
  <c r="AR94" i="3"/>
  <c r="AS94" i="3" s="1"/>
  <c r="AQ94" i="3"/>
  <c r="AR65" i="3"/>
  <c r="AS65" i="3" s="1"/>
  <c r="AQ65" i="3"/>
  <c r="AR36" i="3"/>
  <c r="AS36" i="3" s="1"/>
  <c r="AQ36" i="3"/>
  <c r="AR90" i="3"/>
  <c r="AS90" i="3" s="1"/>
  <c r="AQ90" i="3"/>
  <c r="AR58" i="3"/>
  <c r="AS58" i="3" s="1"/>
  <c r="AQ58" i="3"/>
  <c r="AR57" i="3"/>
  <c r="AS57" i="3" s="1"/>
  <c r="AQ57" i="3"/>
  <c r="AR19" i="3"/>
  <c r="AS19" i="3" s="1"/>
  <c r="AQ19" i="3"/>
  <c r="AR29" i="3"/>
  <c r="AS29" i="3" s="1"/>
  <c r="AQ29" i="3"/>
  <c r="AR38" i="3"/>
  <c r="AS38" i="3" s="1"/>
  <c r="AQ38" i="3"/>
  <c r="AR70" i="3"/>
  <c r="AS70" i="3" s="1"/>
  <c r="AQ70" i="3"/>
  <c r="AR26" i="3"/>
  <c r="AS26" i="3" s="1"/>
  <c r="AQ26" i="3"/>
  <c r="AR81" i="3"/>
  <c r="AS81" i="3" s="1"/>
  <c r="AQ81" i="3"/>
  <c r="AR80" i="3"/>
  <c r="AS80" i="3" s="1"/>
  <c r="AQ80" i="3"/>
  <c r="AR18" i="3"/>
  <c r="AS18" i="3" s="1"/>
  <c r="AQ18" i="3"/>
  <c r="AC113" i="3"/>
  <c r="AD113" i="3" s="1"/>
  <c r="AD112" i="3"/>
  <c r="AR67" i="3"/>
  <c r="AS67" i="3" s="1"/>
  <c r="AQ67" i="3"/>
  <c r="AR72" i="3"/>
  <c r="AS72" i="3" s="1"/>
  <c r="AQ72" i="3"/>
  <c r="AR86" i="3"/>
  <c r="AS86" i="3" s="1"/>
  <c r="AQ86" i="3"/>
  <c r="AR54" i="3"/>
  <c r="AS54" i="3" s="1"/>
  <c r="AQ54" i="3"/>
  <c r="AR16" i="3"/>
  <c r="AS16" i="3" s="1"/>
  <c r="AQ16" i="3"/>
  <c r="AR20" i="3"/>
  <c r="AS20" i="3" s="1"/>
  <c r="AQ20" i="3"/>
  <c r="AA47" i="3"/>
  <c r="AB46" i="3"/>
  <c r="AR66" i="3"/>
  <c r="AS66" i="3" s="1"/>
  <c r="AQ66" i="3"/>
  <c r="AR44" i="3"/>
  <c r="AS44" i="3" s="1"/>
  <c r="AQ44" i="3"/>
  <c r="AR88" i="3"/>
  <c r="AS88" i="3" s="1"/>
  <c r="AQ88" i="3"/>
  <c r="AR64" i="3"/>
  <c r="AS64" i="3" s="1"/>
  <c r="AQ64" i="3"/>
  <c r="AR84" i="3"/>
  <c r="AS84" i="3" s="1"/>
  <c r="AQ84" i="3"/>
  <c r="AR24" i="3"/>
  <c r="AS24" i="3" s="1"/>
  <c r="AQ24" i="3"/>
  <c r="AR60" i="3"/>
  <c r="AS60" i="3" s="1"/>
  <c r="AQ60" i="3"/>
  <c r="AR28" i="3"/>
  <c r="AS28" i="3" s="1"/>
  <c r="AQ28" i="3"/>
  <c r="AR59" i="3"/>
  <c r="AS59" i="3" s="1"/>
  <c r="AQ59" i="3"/>
  <c r="AR82" i="3"/>
  <c r="AS82" i="3" s="1"/>
  <c r="AQ82" i="3"/>
  <c r="AR43" i="3"/>
  <c r="AS43" i="3" s="1"/>
  <c r="AQ43" i="3"/>
  <c r="AR37" i="3"/>
  <c r="AS37" i="3" s="1"/>
  <c r="AQ37" i="3"/>
  <c r="AR30" i="3"/>
  <c r="AS30" i="3" s="1"/>
  <c r="AQ30" i="3"/>
  <c r="AR11" i="3"/>
  <c r="AS11" i="3" s="1"/>
  <c r="AQ11" i="3"/>
  <c r="AR91" i="3"/>
  <c r="AS91" i="3" s="1"/>
  <c r="AQ91" i="3"/>
  <c r="AR22" i="3"/>
  <c r="AS22" i="3" s="1"/>
  <c r="AQ22" i="3"/>
  <c r="AR76" i="3"/>
  <c r="AS76" i="3" s="1"/>
  <c r="AQ76" i="3"/>
  <c r="AR62" i="3"/>
  <c r="AS62" i="3" s="1"/>
  <c r="AQ62" i="3"/>
  <c r="AR75" i="3"/>
  <c r="AS75" i="3" s="1"/>
  <c r="AQ75" i="3"/>
  <c r="AM45" i="3"/>
  <c r="AN45" i="3" s="1"/>
  <c r="AP45" i="3" s="1"/>
  <c r="AJ45" i="3"/>
  <c r="AR56" i="3"/>
  <c r="AS56" i="3" s="1"/>
  <c r="AQ56" i="3"/>
  <c r="AR27" i="3"/>
  <c r="AS27" i="3" s="1"/>
  <c r="AQ27" i="3"/>
  <c r="AR21" i="3"/>
  <c r="AS21" i="3" s="1"/>
  <c r="AQ21" i="3"/>
  <c r="AR14" i="3"/>
  <c r="AS14" i="3" s="1"/>
  <c r="AQ14" i="3"/>
  <c r="AR40" i="3"/>
  <c r="AS40" i="3" s="1"/>
  <c r="AQ40" i="3"/>
  <c r="AE112" i="3"/>
  <c r="AF111" i="3"/>
  <c r="AG111" i="3" s="1"/>
  <c r="AJ111" i="3" s="1"/>
  <c r="AR32" i="3"/>
  <c r="AS32" i="3" s="1"/>
  <c r="AQ32" i="3"/>
  <c r="AR68" i="3"/>
  <c r="AS68" i="3" s="1"/>
  <c r="AQ68" i="3"/>
  <c r="AR51" i="3"/>
  <c r="AS51" i="3" s="1"/>
  <c r="AQ51" i="3"/>
  <c r="AR78" i="3"/>
  <c r="AS78" i="3" s="1"/>
  <c r="AQ78" i="3"/>
  <c r="AR35" i="3"/>
  <c r="AS35" i="3" s="1"/>
  <c r="AQ35" i="3"/>
  <c r="AR52" i="3"/>
  <c r="AS52" i="3" s="1"/>
  <c r="AQ52" i="3"/>
  <c r="AR74" i="3"/>
  <c r="AS74" i="3" s="1"/>
  <c r="AQ74" i="3"/>
  <c r="AR42" i="3"/>
  <c r="AS42" i="3" s="1"/>
  <c r="AQ42" i="3"/>
  <c r="AR89" i="3"/>
  <c r="AS89" i="3" s="1"/>
  <c r="AQ89" i="3"/>
  <c r="AR92" i="3"/>
  <c r="AS92" i="3" s="1"/>
  <c r="AQ92" i="3"/>
  <c r="AR34" i="3"/>
  <c r="AS34" i="3" s="1"/>
  <c r="AQ34" i="3"/>
  <c r="AE47" i="3"/>
  <c r="AF46" i="3"/>
  <c r="T124" i="3"/>
  <c r="AP10" i="3"/>
  <c r="AU10" i="3" s="1"/>
  <c r="K61" i="6"/>
  <c r="L43" i="6" s="1"/>
  <c r="AE48" i="3" l="1"/>
  <c r="AF47" i="3"/>
  <c r="AE113" i="3"/>
  <c r="AF113" i="3" s="1"/>
  <c r="AF112" i="3"/>
  <c r="AG112" i="3"/>
  <c r="AJ112" i="3" s="1"/>
  <c r="AG113" i="3"/>
  <c r="AJ113" i="3" s="1"/>
  <c r="AG46" i="3"/>
  <c r="AR45" i="3"/>
  <c r="AS45" i="3" s="1"/>
  <c r="AQ45" i="3"/>
  <c r="AA48" i="3"/>
  <c r="AB47" i="3"/>
  <c r="AG47" i="3" s="1"/>
  <c r="L58" i="6"/>
  <c r="L56" i="6"/>
  <c r="L54" i="6"/>
  <c r="L52" i="6"/>
  <c r="L50" i="6"/>
  <c r="L48" i="6"/>
  <c r="L46" i="6"/>
  <c r="L44" i="6"/>
  <c r="L59" i="6"/>
  <c r="L42" i="6"/>
  <c r="L57" i="6"/>
  <c r="L55" i="6"/>
  <c r="L53" i="6"/>
  <c r="L51" i="6"/>
  <c r="L49" i="6"/>
  <c r="L47" i="6"/>
  <c r="L45" i="6"/>
  <c r="R32" i="6"/>
  <c r="R31" i="6"/>
  <c r="R30" i="6"/>
  <c r="R29" i="6"/>
  <c r="R28" i="6"/>
  <c r="R26" i="6"/>
  <c r="R24" i="6"/>
  <c r="R22" i="6"/>
  <c r="R20" i="6"/>
  <c r="R16" i="6"/>
  <c r="R14" i="6"/>
  <c r="R13" i="6"/>
  <c r="R12" i="6"/>
  <c r="R10" i="6"/>
  <c r="R9" i="6"/>
  <c r="R6" i="6"/>
  <c r="R5" i="6"/>
  <c r="R4" i="6"/>
  <c r="R3" i="6"/>
  <c r="I13" i="6"/>
  <c r="H13" i="6"/>
  <c r="H29" i="6"/>
  <c r="I29" i="6" s="1"/>
  <c r="H9" i="6"/>
  <c r="I9" i="6" s="1"/>
  <c r="H5" i="6"/>
  <c r="I5" i="6" s="1"/>
  <c r="H6" i="6"/>
  <c r="I6" i="6" s="1"/>
  <c r="G33" i="6"/>
  <c r="G18" i="6"/>
  <c r="G17" i="6"/>
  <c r="AM46" i="3" l="1"/>
  <c r="AN46" i="3" s="1"/>
  <c r="AP46" i="3" s="1"/>
  <c r="AJ46" i="3"/>
  <c r="AM47" i="3"/>
  <c r="AN47" i="3" s="1"/>
  <c r="AP47" i="3" s="1"/>
  <c r="AJ47" i="3"/>
  <c r="AA49" i="3"/>
  <c r="AB48" i="3"/>
  <c r="AG48" i="3" s="1"/>
  <c r="AE49" i="3"/>
  <c r="AF48" i="3"/>
  <c r="G10" i="6"/>
  <c r="G12" i="6"/>
  <c r="H12" i="6" s="1"/>
  <c r="I12" i="6" s="1"/>
  <c r="G11" i="6"/>
  <c r="G4" i="6"/>
  <c r="H4" i="6" s="1"/>
  <c r="I4" i="6" s="1"/>
  <c r="G15" i="6"/>
  <c r="AE50" i="3" l="1"/>
  <c r="AF50" i="3" s="1"/>
  <c r="AF49" i="3"/>
  <c r="AR47" i="3"/>
  <c r="AS47" i="3" s="1"/>
  <c r="AQ47" i="3"/>
  <c r="AA50" i="3"/>
  <c r="AB50" i="3" s="1"/>
  <c r="AG50" i="3" s="1"/>
  <c r="AB49" i="3"/>
  <c r="AG49" i="3" s="1"/>
  <c r="AM48" i="3"/>
  <c r="AN48" i="3" s="1"/>
  <c r="AP48" i="3" s="1"/>
  <c r="AJ48" i="3"/>
  <c r="AR46" i="3"/>
  <c r="AS46" i="3" s="1"/>
  <c r="AQ46" i="3"/>
  <c r="H10" i="6"/>
  <c r="I10" i="6" s="1"/>
  <c r="G14" i="6"/>
  <c r="H14" i="6" s="1"/>
  <c r="I14" i="6" s="1"/>
  <c r="G16" i="6"/>
  <c r="H16" i="6" s="1"/>
  <c r="I16" i="6" s="1"/>
  <c r="G20" i="6"/>
  <c r="H20" i="6" s="1"/>
  <c r="I20" i="6" s="1"/>
  <c r="G22" i="6"/>
  <c r="H22" i="6" s="1"/>
  <c r="I22" i="6" s="1"/>
  <c r="G24" i="6"/>
  <c r="H24" i="6" s="1"/>
  <c r="I24" i="6" s="1"/>
  <c r="G26" i="6"/>
  <c r="H26" i="6" s="1"/>
  <c r="I26" i="6" s="1"/>
  <c r="G28" i="6"/>
  <c r="H28" i="6" s="1"/>
  <c r="I28" i="6" s="1"/>
  <c r="G30" i="6"/>
  <c r="H30" i="6" s="1"/>
  <c r="I30" i="6" s="1"/>
  <c r="G31" i="6"/>
  <c r="H31" i="6" s="1"/>
  <c r="I31" i="6" s="1"/>
  <c r="G32" i="6"/>
  <c r="H32" i="6" s="1"/>
  <c r="I32" i="6" s="1"/>
  <c r="AM50" i="3" l="1"/>
  <c r="AN50" i="3" s="1"/>
  <c r="AP50" i="3" s="1"/>
  <c r="AJ50" i="3"/>
  <c r="AM49" i="3"/>
  <c r="AN49" i="3" s="1"/>
  <c r="AP49" i="3" s="1"/>
  <c r="AJ49" i="3"/>
  <c r="AR48" i="3"/>
  <c r="AS48" i="3" s="1"/>
  <c r="AQ48" i="3"/>
  <c r="D3" i="3"/>
  <c r="AR49" i="3" l="1"/>
  <c r="AS49" i="3" s="1"/>
  <c r="AQ49" i="3"/>
  <c r="AR50" i="3"/>
  <c r="AS50" i="3" s="1"/>
  <c r="AQ50" i="3"/>
  <c r="M32" i="6"/>
  <c r="N32" i="6" s="1"/>
  <c r="M31" i="6"/>
  <c r="N31" i="6" s="1"/>
  <c r="M30" i="6"/>
  <c r="N30" i="6" s="1"/>
  <c r="M29" i="6"/>
  <c r="N29" i="6" s="1"/>
  <c r="M28" i="6"/>
  <c r="N28" i="6" s="1"/>
  <c r="M26" i="6"/>
  <c r="N26" i="6" s="1"/>
  <c r="M24" i="6"/>
  <c r="N24" i="6" s="1"/>
  <c r="M22" i="6"/>
  <c r="N22" i="6" s="1"/>
  <c r="M20" i="6"/>
  <c r="N20" i="6" s="1"/>
  <c r="M16" i="6"/>
  <c r="N16" i="6" s="1"/>
  <c r="M14" i="6"/>
  <c r="N14" i="6" s="1"/>
  <c r="M13" i="6"/>
  <c r="N13" i="6" s="1"/>
  <c r="M12" i="6"/>
  <c r="N12" i="6" s="1"/>
  <c r="M10" i="6"/>
  <c r="N10" i="6" s="1"/>
  <c r="M9" i="6"/>
  <c r="N9" i="6" s="1"/>
  <c r="M6" i="6"/>
  <c r="N6" i="6" s="1"/>
  <c r="N5" i="6"/>
  <c r="M4" i="6"/>
  <c r="N4" i="6" s="1"/>
  <c r="M3" i="6"/>
  <c r="N3" i="6" s="1"/>
  <c r="G3" i="6"/>
  <c r="H3" i="6" s="1"/>
  <c r="I3" i="6" s="1"/>
  <c r="B7" i="3" l="1"/>
  <c r="AR10" i="3" l="1"/>
  <c r="AS10" i="3" s="1"/>
  <c r="AV10" i="3" l="1"/>
  <c r="T119" i="3" s="1"/>
  <c r="W12" i="3"/>
  <c r="W13" i="3" s="1"/>
  <c r="W14" i="3" s="1"/>
  <c r="W15" i="3" s="1"/>
  <c r="W16" i="3" s="1"/>
  <c r="W17" i="3" s="1"/>
  <c r="W18" i="3" s="1"/>
  <c r="W19" i="3" s="1"/>
  <c r="W20" i="3" s="1"/>
  <c r="W21" i="3" s="1"/>
  <c r="W22" i="3" s="1"/>
  <c r="W23" i="3" s="1"/>
  <c r="W24" i="3" s="1"/>
  <c r="W25" i="3" s="1"/>
  <c r="W26" i="3" s="1"/>
  <c r="W27" i="3" s="1"/>
  <c r="W28" i="3" s="1"/>
  <c r="W29" i="3" s="1"/>
  <c r="W30" i="3" s="1"/>
  <c r="W31" i="3" s="1"/>
  <c r="W32" i="3" s="1"/>
  <c r="W33" i="3" s="1"/>
  <c r="W34" i="3" s="1"/>
  <c r="W35" i="3" s="1"/>
  <c r="W36" i="3" s="1"/>
  <c r="W37" i="3" s="1"/>
  <c r="W38" i="3" s="1"/>
  <c r="W39" i="3" s="1"/>
  <c r="W40" i="3" s="1"/>
  <c r="W41" i="3" s="1"/>
  <c r="W42" i="3" s="1"/>
  <c r="W43" i="3" s="1"/>
  <c r="W44" i="3" s="1"/>
  <c r="W45" i="3" s="1"/>
  <c r="W46" i="3" s="1"/>
  <c r="W47" i="3" s="1"/>
  <c r="W48" i="3" s="1"/>
  <c r="W49" i="3" s="1"/>
  <c r="W50" i="3" s="1"/>
  <c r="W51" i="3" s="1"/>
  <c r="W52" i="3" s="1"/>
  <c r="W53" i="3" s="1"/>
  <c r="W54" i="3" s="1"/>
  <c r="W55" i="3" s="1"/>
  <c r="W56" i="3" s="1"/>
  <c r="W57" i="3" s="1"/>
  <c r="W58" i="3" s="1"/>
  <c r="W59" i="3" s="1"/>
  <c r="W60" i="3" s="1"/>
  <c r="W61" i="3" s="1"/>
  <c r="W62" i="3" s="1"/>
  <c r="W63" i="3" s="1"/>
  <c r="W64" i="3" s="1"/>
  <c r="W65" i="3" s="1"/>
  <c r="W66" i="3" s="1"/>
  <c r="W67" i="3" s="1"/>
  <c r="W68" i="3" s="1"/>
  <c r="W69" i="3" s="1"/>
  <c r="W70" i="3" s="1"/>
  <c r="W71" i="3" s="1"/>
  <c r="W72" i="3" s="1"/>
  <c r="W73" i="3" s="1"/>
  <c r="W74" i="3" s="1"/>
  <c r="W75" i="3" s="1"/>
  <c r="W76" i="3" s="1"/>
  <c r="W77" i="3" s="1"/>
  <c r="W78" i="3" s="1"/>
  <c r="W79" i="3" s="1"/>
  <c r="W80" i="3" s="1"/>
  <c r="W81" i="3" s="1"/>
  <c r="W82" i="3" s="1"/>
  <c r="W83" i="3" s="1"/>
  <c r="W84" i="3" s="1"/>
  <c r="W85" i="3" s="1"/>
  <c r="W86" i="3" s="1"/>
  <c r="W87" i="3" s="1"/>
  <c r="W88" i="3" s="1"/>
  <c r="W89" i="3" s="1"/>
  <c r="W90" i="3" s="1"/>
  <c r="W91" i="3" s="1"/>
  <c r="W92" i="3" s="1"/>
  <c r="W93" i="3" s="1"/>
  <c r="W94" i="3" s="1"/>
  <c r="W95" i="3" s="1"/>
  <c r="W96" i="3" s="1"/>
  <c r="W97" i="3" s="1"/>
  <c r="W98" i="3" s="1"/>
  <c r="W99" i="3" s="1"/>
  <c r="W100" i="3" s="1"/>
  <c r="W101" i="3" s="1"/>
  <c r="W102" i="3" s="1"/>
  <c r="W103" i="3" s="1"/>
  <c r="W104" i="3" s="1"/>
  <c r="W105" i="3" s="1"/>
  <c r="W106" i="3" s="1"/>
  <c r="W107" i="3" s="1"/>
  <c r="W108" i="3" s="1"/>
  <c r="W109" i="3" s="1"/>
  <c r="W110" i="3" s="1"/>
  <c r="W111" i="3" s="1"/>
  <c r="W112" i="3" s="1"/>
  <c r="W113" i="3" s="1"/>
  <c r="W116" i="3" l="1"/>
  <c r="L116" i="3" l="1"/>
  <c r="O116" i="3" l="1"/>
  <c r="BE12" i="3" l="1"/>
  <c r="BE13" i="3" s="1"/>
  <c r="BE14" i="3" s="1"/>
  <c r="BE15" i="3" s="1"/>
  <c r="BE16" i="3" s="1"/>
  <c r="BE17" i="3" s="1"/>
  <c r="BE18" i="3" s="1"/>
  <c r="BE19" i="3" s="1"/>
  <c r="BE20" i="3" s="1"/>
  <c r="BE21" i="3" s="1"/>
  <c r="BE22" i="3" s="1"/>
  <c r="BE23" i="3" s="1"/>
  <c r="BE24" i="3" s="1"/>
  <c r="BE25" i="3" s="1"/>
  <c r="BE26" i="3" s="1"/>
  <c r="BE27" i="3" s="1"/>
  <c r="BE28" i="3" s="1"/>
  <c r="BE29" i="3" s="1"/>
  <c r="BE30" i="3" s="1"/>
  <c r="BE31" i="3" s="1"/>
  <c r="BE32" i="3" s="1"/>
  <c r="BE33" i="3" s="1"/>
  <c r="BE34" i="3" s="1"/>
  <c r="BE35" i="3" s="1"/>
  <c r="BE36" i="3" s="1"/>
  <c r="BE37" i="3" s="1"/>
  <c r="BE38" i="3" s="1"/>
  <c r="BE39" i="3" s="1"/>
  <c r="BE40" i="3" s="1"/>
  <c r="BE41" i="3" s="1"/>
  <c r="BE42" i="3" s="1"/>
  <c r="BE43" i="3" s="1"/>
  <c r="BE44" i="3" s="1"/>
  <c r="BE45" i="3" s="1"/>
  <c r="BE46" i="3" s="1"/>
  <c r="BE47" i="3" s="1"/>
  <c r="BE48" i="3" s="1"/>
  <c r="BE49" i="3" s="1"/>
  <c r="BE50" i="3" s="1"/>
  <c r="BE51" i="3" s="1"/>
  <c r="BE52" i="3" s="1"/>
  <c r="BE53" i="3" s="1"/>
  <c r="BE54" i="3" s="1"/>
  <c r="BE55" i="3" s="1"/>
  <c r="BE56" i="3" s="1"/>
  <c r="BE57" i="3" s="1"/>
  <c r="BE58" i="3" s="1"/>
  <c r="BE59" i="3" s="1"/>
  <c r="BE60" i="3" s="1"/>
  <c r="BE61" i="3" s="1"/>
  <c r="BE62" i="3" s="1"/>
  <c r="BE63" i="3" s="1"/>
  <c r="BE64" i="3" s="1"/>
  <c r="BE65" i="3" s="1"/>
  <c r="BE66" i="3" s="1"/>
  <c r="BE67" i="3" s="1"/>
  <c r="BE68" i="3" s="1"/>
  <c r="BE69" i="3" s="1"/>
  <c r="BE70" i="3" s="1"/>
  <c r="BE71" i="3" s="1"/>
  <c r="BE72" i="3" s="1"/>
  <c r="BE73" i="3" s="1"/>
  <c r="BE74" i="3" s="1"/>
  <c r="BE75" i="3" s="1"/>
  <c r="BE76" i="3" s="1"/>
  <c r="BE77" i="3" s="1"/>
  <c r="BE78" i="3" s="1"/>
  <c r="BE79" i="3" s="1"/>
  <c r="BE80" i="3" s="1"/>
  <c r="BE81" i="3" s="1"/>
  <c r="BE82" i="3" s="1"/>
  <c r="BE83" i="3" s="1"/>
  <c r="BE84" i="3" s="1"/>
  <c r="BE85" i="3" s="1"/>
  <c r="BE86" i="3" s="1"/>
  <c r="BE87" i="3" s="1"/>
  <c r="BE88" i="3" s="1"/>
  <c r="BE89" i="3" s="1"/>
  <c r="BE90" i="3" s="1"/>
  <c r="BE91" i="3" s="1"/>
  <c r="BE92" i="3" s="1"/>
  <c r="BE93" i="3" s="1"/>
  <c r="BE94" i="3" s="1"/>
  <c r="BE95" i="3" s="1"/>
  <c r="BE96" i="3" s="1"/>
  <c r="BE97" i="3" s="1"/>
  <c r="BE98" i="3" s="1"/>
  <c r="BE99" i="3" s="1"/>
  <c r="BE100" i="3" s="1"/>
  <c r="BE101" i="3" s="1"/>
  <c r="BE102" i="3" s="1"/>
  <c r="BE103" i="3" s="1"/>
  <c r="BE104" i="3" s="1"/>
  <c r="BE105" i="3" s="1"/>
  <c r="BE106" i="3" s="1"/>
  <c r="BE107" i="3" s="1"/>
  <c r="BE108" i="3" s="1"/>
  <c r="BE109" i="3" s="1"/>
  <c r="BE110" i="3" s="1"/>
  <c r="BE111" i="3" s="1"/>
  <c r="BE112" i="3" s="1"/>
  <c r="BE113" i="3" s="1"/>
  <c r="P116" i="3"/>
  <c r="BE116" i="3" l="1"/>
  <c r="R12" i="3" l="1"/>
  <c r="S11" i="3"/>
  <c r="T11" i="3" s="1"/>
  <c r="R13" i="3" l="1"/>
  <c r="S12" i="3"/>
  <c r="T12" i="3" s="1"/>
  <c r="R14" i="3" l="1"/>
  <c r="S13" i="3"/>
  <c r="T13" i="3" s="1"/>
  <c r="R15" i="3" l="1"/>
  <c r="S14" i="3"/>
  <c r="T14" i="3" s="1"/>
  <c r="R16" i="3" l="1"/>
  <c r="S15" i="3"/>
  <c r="T15" i="3" s="1"/>
  <c r="R17" i="3" l="1"/>
  <c r="S16" i="3"/>
  <c r="T16" i="3" s="1"/>
  <c r="R18" i="3" l="1"/>
  <c r="S17" i="3"/>
  <c r="T17" i="3" s="1"/>
  <c r="R19" i="3" l="1"/>
  <c r="S18" i="3"/>
  <c r="T18" i="3" s="1"/>
  <c r="R20" i="3" l="1"/>
  <c r="S19" i="3"/>
  <c r="T19" i="3" s="1"/>
  <c r="R21" i="3" l="1"/>
  <c r="S20" i="3"/>
  <c r="T20" i="3" s="1"/>
  <c r="R22" i="3" l="1"/>
  <c r="S21" i="3"/>
  <c r="T21" i="3" s="1"/>
  <c r="R23" i="3" l="1"/>
  <c r="S22" i="3"/>
  <c r="T22" i="3" s="1"/>
  <c r="R24" i="3" l="1"/>
  <c r="S23" i="3"/>
  <c r="T23" i="3" s="1"/>
  <c r="R25" i="3" l="1"/>
  <c r="S24" i="3"/>
  <c r="T24" i="3" s="1"/>
  <c r="R26" i="3" l="1"/>
  <c r="S25" i="3"/>
  <c r="T25" i="3" s="1"/>
  <c r="S26" i="3" l="1"/>
  <c r="T26" i="3" s="1"/>
  <c r="R27" i="3"/>
  <c r="R28" i="3" l="1"/>
  <c r="S27" i="3"/>
  <c r="T27" i="3" s="1"/>
  <c r="R29" i="3" l="1"/>
  <c r="S28" i="3"/>
  <c r="T28" i="3" s="1"/>
  <c r="R30" i="3" l="1"/>
  <c r="S29" i="3"/>
  <c r="T29" i="3" s="1"/>
  <c r="S30" i="3" l="1"/>
  <c r="T30" i="3" s="1"/>
  <c r="R31" i="3"/>
  <c r="R32" i="3" l="1"/>
  <c r="S31" i="3"/>
  <c r="T31" i="3" s="1"/>
  <c r="R33" i="3" l="1"/>
  <c r="S32" i="3"/>
  <c r="T32" i="3" s="1"/>
  <c r="R34" i="3" l="1"/>
  <c r="S33" i="3"/>
  <c r="T33" i="3" s="1"/>
  <c r="S34" i="3" l="1"/>
  <c r="T34" i="3" s="1"/>
  <c r="R35" i="3"/>
  <c r="R36" i="3" l="1"/>
  <c r="S35" i="3"/>
  <c r="T35" i="3" s="1"/>
  <c r="R37" i="3" l="1"/>
  <c r="S36" i="3"/>
  <c r="T36" i="3" s="1"/>
  <c r="R38" i="3" l="1"/>
  <c r="S37" i="3"/>
  <c r="T37" i="3" s="1"/>
  <c r="S38" i="3" l="1"/>
  <c r="T38" i="3" s="1"/>
  <c r="R39" i="3"/>
  <c r="R40" i="3" l="1"/>
  <c r="S39" i="3"/>
  <c r="T39" i="3" s="1"/>
  <c r="R41" i="3" l="1"/>
  <c r="S40" i="3"/>
  <c r="T40" i="3" s="1"/>
  <c r="R42" i="3" l="1"/>
  <c r="S41" i="3"/>
  <c r="T41" i="3" s="1"/>
  <c r="S42" i="3" l="1"/>
  <c r="T42" i="3" s="1"/>
  <c r="R43" i="3"/>
  <c r="R44" i="3" l="1"/>
  <c r="S43" i="3"/>
  <c r="T43" i="3" s="1"/>
  <c r="R45" i="3" l="1"/>
  <c r="S44" i="3"/>
  <c r="T44" i="3" s="1"/>
  <c r="R46" i="3" l="1"/>
  <c r="S45" i="3"/>
  <c r="T45" i="3" s="1"/>
  <c r="S46" i="3" l="1"/>
  <c r="T46" i="3" s="1"/>
  <c r="R47" i="3"/>
  <c r="R48" i="3" l="1"/>
  <c r="S47" i="3"/>
  <c r="T47" i="3" s="1"/>
  <c r="R49" i="3" l="1"/>
  <c r="S48" i="3"/>
  <c r="T48" i="3" s="1"/>
  <c r="R50" i="3" l="1"/>
  <c r="S49" i="3"/>
  <c r="T49" i="3" s="1"/>
  <c r="S50" i="3" l="1"/>
  <c r="T50" i="3" s="1"/>
  <c r="R51" i="3"/>
  <c r="R52" i="3" l="1"/>
  <c r="S51" i="3"/>
  <c r="T51" i="3" s="1"/>
  <c r="R53" i="3" l="1"/>
  <c r="S52" i="3"/>
  <c r="T52" i="3" s="1"/>
  <c r="R54" i="3" l="1"/>
  <c r="S53" i="3"/>
  <c r="T53" i="3" s="1"/>
  <c r="S54" i="3" l="1"/>
  <c r="T54" i="3" s="1"/>
  <c r="R55" i="3"/>
  <c r="R56" i="3" l="1"/>
  <c r="S55" i="3"/>
  <c r="T55" i="3" s="1"/>
  <c r="R57" i="3" l="1"/>
  <c r="S56" i="3"/>
  <c r="T56" i="3" s="1"/>
  <c r="R58" i="3" l="1"/>
  <c r="S57" i="3"/>
  <c r="T57" i="3" s="1"/>
  <c r="S58" i="3" l="1"/>
  <c r="T58" i="3" s="1"/>
  <c r="R59" i="3"/>
  <c r="R60" i="3" l="1"/>
  <c r="S59" i="3"/>
  <c r="T59" i="3" s="1"/>
  <c r="R61" i="3" l="1"/>
  <c r="S60" i="3"/>
  <c r="T60" i="3" s="1"/>
  <c r="R62" i="3" l="1"/>
  <c r="S61" i="3"/>
  <c r="T61" i="3" s="1"/>
  <c r="S62" i="3" l="1"/>
  <c r="T62" i="3" s="1"/>
  <c r="R63" i="3"/>
  <c r="R64" i="3" l="1"/>
  <c r="S63" i="3"/>
  <c r="T63" i="3" s="1"/>
  <c r="R65" i="3" l="1"/>
  <c r="S64" i="3"/>
  <c r="T64" i="3" s="1"/>
  <c r="R66" i="3" l="1"/>
  <c r="S65" i="3"/>
  <c r="T65" i="3" s="1"/>
  <c r="S66" i="3" l="1"/>
  <c r="T66" i="3" s="1"/>
  <c r="R67" i="3"/>
  <c r="R68" i="3" l="1"/>
  <c r="S67" i="3"/>
  <c r="T67" i="3" s="1"/>
  <c r="R69" i="3" l="1"/>
  <c r="S68" i="3"/>
  <c r="T68" i="3" s="1"/>
  <c r="R70" i="3" l="1"/>
  <c r="S69" i="3"/>
  <c r="T69" i="3" s="1"/>
  <c r="S70" i="3" l="1"/>
  <c r="T70" i="3" s="1"/>
  <c r="R71" i="3"/>
  <c r="R72" i="3" l="1"/>
  <c r="S71" i="3"/>
  <c r="T71" i="3" s="1"/>
  <c r="R73" i="3" l="1"/>
  <c r="S72" i="3"/>
  <c r="T72" i="3" s="1"/>
  <c r="R74" i="3" l="1"/>
  <c r="S73" i="3"/>
  <c r="T73" i="3" s="1"/>
  <c r="S74" i="3" l="1"/>
  <c r="T74" i="3" s="1"/>
  <c r="R75" i="3"/>
  <c r="R76" i="3" l="1"/>
  <c r="S75" i="3"/>
  <c r="T75" i="3" s="1"/>
  <c r="R77" i="3" l="1"/>
  <c r="S76" i="3"/>
  <c r="T76" i="3" s="1"/>
  <c r="R78" i="3" l="1"/>
  <c r="S77" i="3"/>
  <c r="T77" i="3" s="1"/>
  <c r="S78" i="3" l="1"/>
  <c r="T78" i="3" s="1"/>
  <c r="R79" i="3"/>
  <c r="R80" i="3" l="1"/>
  <c r="S79" i="3"/>
  <c r="T79" i="3" s="1"/>
  <c r="R81" i="3" l="1"/>
  <c r="S80" i="3"/>
  <c r="T80" i="3" s="1"/>
  <c r="R82" i="3" l="1"/>
  <c r="S81" i="3"/>
  <c r="T81" i="3" s="1"/>
  <c r="S82" i="3" l="1"/>
  <c r="T82" i="3" s="1"/>
  <c r="R83" i="3"/>
  <c r="R84" i="3" l="1"/>
  <c r="S83" i="3"/>
  <c r="T83" i="3" s="1"/>
  <c r="R85" i="3" l="1"/>
  <c r="S84" i="3"/>
  <c r="T84" i="3" s="1"/>
  <c r="R86" i="3" l="1"/>
  <c r="S85" i="3"/>
  <c r="T85" i="3" s="1"/>
  <c r="S86" i="3" l="1"/>
  <c r="T86" i="3" s="1"/>
  <c r="R87" i="3"/>
  <c r="R88" i="3" l="1"/>
  <c r="S87" i="3"/>
  <c r="T87" i="3" s="1"/>
  <c r="R89" i="3" l="1"/>
  <c r="S88" i="3"/>
  <c r="T88" i="3" s="1"/>
  <c r="R90" i="3" l="1"/>
  <c r="S89" i="3"/>
  <c r="T89" i="3" s="1"/>
  <c r="S90" i="3" l="1"/>
  <c r="T90" i="3" s="1"/>
  <c r="R91" i="3"/>
  <c r="R92" i="3" l="1"/>
  <c r="S91" i="3"/>
  <c r="T91" i="3" s="1"/>
  <c r="R93" i="3" l="1"/>
  <c r="S92" i="3"/>
  <c r="T92" i="3" s="1"/>
  <c r="R94" i="3" l="1"/>
  <c r="R95" i="3" s="1"/>
  <c r="S93" i="3"/>
  <c r="T93" i="3" s="1"/>
  <c r="S95" i="3" l="1"/>
  <c r="T95" i="3" s="1"/>
  <c r="R96" i="3"/>
  <c r="S94" i="3"/>
  <c r="T94" i="3" s="1"/>
  <c r="S96" i="3" l="1"/>
  <c r="T96" i="3" s="1"/>
  <c r="R97" i="3"/>
  <c r="S97" i="3" l="1"/>
  <c r="T97" i="3" s="1"/>
  <c r="R98" i="3"/>
  <c r="S98" i="3" l="1"/>
  <c r="T98" i="3" s="1"/>
  <c r="R99" i="3"/>
  <c r="S99" i="3" l="1"/>
  <c r="T99" i="3" s="1"/>
  <c r="R100" i="3"/>
  <c r="S100" i="3" l="1"/>
  <c r="T100" i="3" s="1"/>
  <c r="R101" i="3"/>
  <c r="S101" i="3" l="1"/>
  <c r="T101" i="3" s="1"/>
  <c r="R102" i="3"/>
  <c r="S102" i="3" l="1"/>
  <c r="T102" i="3" s="1"/>
  <c r="R103" i="3"/>
  <c r="S103" i="3" l="1"/>
  <c r="T103" i="3" s="1"/>
  <c r="R104" i="3"/>
  <c r="S104" i="3" l="1"/>
  <c r="T104" i="3" s="1"/>
  <c r="R105" i="3"/>
  <c r="S105" i="3" l="1"/>
  <c r="T105" i="3" s="1"/>
  <c r="R106" i="3"/>
  <c r="S106" i="3" l="1"/>
  <c r="T106" i="3" s="1"/>
  <c r="R107" i="3"/>
  <c r="S107" i="3" l="1"/>
  <c r="T107" i="3" s="1"/>
  <c r="R108" i="3"/>
  <c r="S108" i="3" l="1"/>
  <c r="T108" i="3" s="1"/>
  <c r="R109" i="3"/>
  <c r="S109" i="3" l="1"/>
  <c r="T109" i="3" s="1"/>
  <c r="R110" i="3"/>
  <c r="S110" i="3" l="1"/>
  <c r="T110" i="3" s="1"/>
  <c r="R111" i="3"/>
  <c r="S111" i="3" l="1"/>
  <c r="T111" i="3" s="1"/>
  <c r="R112" i="3"/>
  <c r="S112" i="3" l="1"/>
  <c r="T112" i="3" s="1"/>
  <c r="R113" i="3"/>
  <c r="S113" i="3" s="1"/>
  <c r="T113" i="3" s="1"/>
  <c r="T116" i="3" l="1"/>
  <c r="S116" i="3" l="1"/>
  <c r="AH11" i="3" l="1"/>
  <c r="AI11" i="3" l="1"/>
  <c r="AK11" i="3"/>
  <c r="AL11" i="3" s="1"/>
  <c r="AW11" i="3" l="1"/>
  <c r="AX11" i="3"/>
  <c r="AY11" i="3" s="1"/>
  <c r="AU11" i="3"/>
  <c r="AT12" i="3" l="1"/>
  <c r="AV11" i="3"/>
  <c r="AZ11" i="3"/>
  <c r="BC11" i="3"/>
  <c r="BD11" i="3" s="1"/>
  <c r="BF11" i="3"/>
  <c r="BG11" i="3" s="1"/>
  <c r="BB11" i="3" l="1"/>
  <c r="BA11" i="3"/>
  <c r="AH12" i="3"/>
  <c r="AK12" i="3" l="1"/>
  <c r="AI12" i="3"/>
  <c r="AW12" i="3" l="1"/>
  <c r="AL12" i="3"/>
  <c r="AX12" i="3"/>
  <c r="AU12" i="3"/>
  <c r="AT13" i="3" l="1"/>
  <c r="AV12" i="3"/>
  <c r="AY12" i="3"/>
  <c r="BC12" i="3"/>
  <c r="BD12" i="3" s="1"/>
  <c r="BF12" i="3"/>
  <c r="BG12" i="3" s="1"/>
  <c r="AZ12" i="3"/>
  <c r="BB12" i="3" l="1"/>
  <c r="BA12" i="3"/>
  <c r="AH13" i="3"/>
  <c r="AI13" i="3" l="1"/>
  <c r="AK13" i="3"/>
  <c r="AL13" i="3" l="1"/>
  <c r="AX13" i="3"/>
  <c r="AW13" i="3"/>
  <c r="AU13" i="3"/>
  <c r="AT14" i="3" l="1"/>
  <c r="AV13" i="3"/>
  <c r="BF13" i="3"/>
  <c r="BG13" i="3" s="1"/>
  <c r="BC13" i="3"/>
  <c r="BD13" i="3" s="1"/>
  <c r="AZ13" i="3"/>
  <c r="AY13" i="3"/>
  <c r="BB13" i="3" l="1"/>
  <c r="BA13" i="3"/>
  <c r="AH14" i="3"/>
  <c r="AI14" i="3" l="1"/>
  <c r="AK14" i="3"/>
  <c r="AL14" i="3" l="1"/>
  <c r="AX14" i="3"/>
  <c r="AW14" i="3"/>
  <c r="AU14" i="3"/>
  <c r="AT15" i="3" l="1"/>
  <c r="AV14" i="3"/>
  <c r="AY14" i="3"/>
  <c r="BF14" i="3"/>
  <c r="BG14" i="3" s="1"/>
  <c r="BC14" i="3"/>
  <c r="BD14" i="3" s="1"/>
  <c r="AZ14" i="3"/>
  <c r="BB14" i="3" l="1"/>
  <c r="BA14" i="3"/>
  <c r="AH15" i="3"/>
  <c r="AK15" i="3" l="1"/>
  <c r="AI15" i="3"/>
  <c r="AL15" i="3" l="1"/>
  <c r="AX15" i="3"/>
  <c r="AW15" i="3"/>
  <c r="AU15" i="3"/>
  <c r="AT16" i="3" l="1"/>
  <c r="AV15" i="3"/>
  <c r="BC15" i="3"/>
  <c r="BD15" i="3" s="1"/>
  <c r="BF15" i="3"/>
  <c r="BG15" i="3" s="1"/>
  <c r="AY15" i="3"/>
  <c r="AZ15" i="3"/>
  <c r="BB15" i="3" l="1"/>
  <c r="BA15" i="3"/>
  <c r="AH16" i="3"/>
  <c r="AK16" i="3" l="1"/>
  <c r="AI16" i="3"/>
  <c r="AX16" i="3" l="1"/>
  <c r="AL16" i="3"/>
  <c r="AW16" i="3"/>
  <c r="AU16" i="3"/>
  <c r="AV16" i="3" l="1"/>
  <c r="AT17" i="3"/>
  <c r="BF16" i="3"/>
  <c r="BG16" i="3" s="1"/>
  <c r="BC16" i="3"/>
  <c r="BD16" i="3" s="1"/>
  <c r="AZ16" i="3"/>
  <c r="AY16" i="3"/>
  <c r="BB16" i="3" l="1"/>
  <c r="BA16" i="3"/>
  <c r="AH17" i="3"/>
  <c r="AI17" i="3" l="1"/>
  <c r="AK17" i="3"/>
  <c r="AW17" i="3" l="1"/>
  <c r="AL17" i="3"/>
  <c r="AX17" i="3"/>
  <c r="AU17" i="3"/>
  <c r="AV17" i="3" l="1"/>
  <c r="AT18" i="3"/>
  <c r="BC17" i="3"/>
  <c r="BD17" i="3" s="1"/>
  <c r="AZ17" i="3"/>
  <c r="AY17" i="3"/>
  <c r="BF17" i="3"/>
  <c r="BG17" i="3" s="1"/>
  <c r="BB17" i="3" l="1"/>
  <c r="BA17" i="3"/>
  <c r="AH18" i="3"/>
  <c r="AK18" i="3" l="1"/>
  <c r="AI18" i="3"/>
  <c r="AL18" i="3" l="1"/>
  <c r="AX18" i="3"/>
  <c r="AW18" i="3"/>
  <c r="AU18" i="3"/>
  <c r="AT19" i="3" l="1"/>
  <c r="AV18" i="3"/>
  <c r="BC18" i="3"/>
  <c r="BD18" i="3" s="1"/>
  <c r="AZ18" i="3"/>
  <c r="AY18" i="3"/>
  <c r="BF18" i="3"/>
  <c r="BG18" i="3" s="1"/>
  <c r="BB18" i="3" l="1"/>
  <c r="BA18" i="3"/>
  <c r="AH19" i="3"/>
  <c r="AK19" i="3" l="1"/>
  <c r="AI19" i="3"/>
  <c r="AW19" i="3" l="1"/>
  <c r="AL19" i="3"/>
  <c r="AX19" i="3"/>
  <c r="AU19" i="3"/>
  <c r="AY19" i="3" l="1"/>
  <c r="BC19" i="3"/>
  <c r="BD19" i="3" s="1"/>
  <c r="BF19" i="3"/>
  <c r="BG19" i="3" s="1"/>
  <c r="AZ19" i="3"/>
  <c r="AV19" i="3"/>
  <c r="AT20" i="3"/>
  <c r="BB19" i="3" l="1"/>
  <c r="BA19" i="3"/>
  <c r="AH20" i="3"/>
  <c r="AK20" i="3" l="1"/>
  <c r="AI20" i="3"/>
  <c r="AL20" i="3" l="1"/>
  <c r="AX20" i="3"/>
  <c r="AW20" i="3"/>
  <c r="AU20" i="3"/>
  <c r="AT21" i="3" l="1"/>
  <c r="AV20" i="3"/>
  <c r="AZ20" i="3"/>
  <c r="AY20" i="3"/>
  <c r="BF20" i="3"/>
  <c r="BG20" i="3" s="1"/>
  <c r="BC20" i="3"/>
  <c r="BD20" i="3" s="1"/>
  <c r="BB20" i="3" l="1"/>
  <c r="BA20" i="3"/>
  <c r="AH21" i="3"/>
  <c r="AI21" i="3" l="1"/>
  <c r="AK21" i="3"/>
  <c r="AL21" i="3" l="1"/>
  <c r="AW21" i="3"/>
  <c r="AX21" i="3"/>
  <c r="AU21" i="3"/>
  <c r="AT22" i="3" l="1"/>
  <c r="AV21" i="3"/>
  <c r="AY21" i="3"/>
  <c r="BF21" i="3"/>
  <c r="BG21" i="3" s="1"/>
  <c r="BC21" i="3"/>
  <c r="BD21" i="3" s="1"/>
  <c r="AZ21" i="3"/>
  <c r="BB21" i="3" l="1"/>
  <c r="BA21" i="3"/>
  <c r="AH22" i="3"/>
  <c r="AK22" i="3" l="1"/>
  <c r="AI22" i="3"/>
  <c r="AL22" i="3" l="1"/>
  <c r="AX22" i="3"/>
  <c r="AW22" i="3"/>
  <c r="AU22" i="3"/>
  <c r="AT23" i="3" l="1"/>
  <c r="AV22" i="3"/>
  <c r="BF22" i="3"/>
  <c r="BG22" i="3" s="1"/>
  <c r="AY22" i="3"/>
  <c r="AZ22" i="3"/>
  <c r="BC22" i="3"/>
  <c r="BD22" i="3" s="1"/>
  <c r="BB22" i="3" l="1"/>
  <c r="BA22" i="3"/>
  <c r="AH23" i="3"/>
  <c r="AI23" i="3" l="1"/>
  <c r="AK23" i="3"/>
  <c r="AX23" i="3" l="1"/>
  <c r="AL23" i="3"/>
  <c r="AW23" i="3"/>
  <c r="AU23" i="3"/>
  <c r="AV23" i="3" l="1"/>
  <c r="AT24" i="3"/>
  <c r="AY23" i="3"/>
  <c r="AZ23" i="3"/>
  <c r="BC23" i="3"/>
  <c r="BD23" i="3" s="1"/>
  <c r="BF23" i="3"/>
  <c r="BG23" i="3" s="1"/>
  <c r="BB23" i="3" l="1"/>
  <c r="BA23" i="3"/>
  <c r="AH24" i="3"/>
  <c r="AI24" i="3" l="1"/>
  <c r="AK24" i="3"/>
  <c r="AL24" i="3" l="1"/>
  <c r="AX24" i="3"/>
  <c r="AW24" i="3"/>
  <c r="AU24" i="3"/>
  <c r="AV24" i="3" l="1"/>
  <c r="AT25" i="3"/>
  <c r="BF24" i="3"/>
  <c r="BG24" i="3" s="1"/>
  <c r="BC24" i="3"/>
  <c r="BD24" i="3" s="1"/>
  <c r="AZ24" i="3"/>
  <c r="AY24" i="3"/>
  <c r="BB24" i="3" l="1"/>
  <c r="BA24" i="3"/>
  <c r="AH25" i="3"/>
  <c r="AK25" i="3" l="1"/>
  <c r="AI25" i="3"/>
  <c r="AX25" i="3" l="1"/>
  <c r="AW25" i="3"/>
  <c r="AL25" i="3"/>
  <c r="AU25" i="3"/>
  <c r="AV25" i="3" l="1"/>
  <c r="AT26" i="3"/>
  <c r="AY25" i="3"/>
  <c r="BF25" i="3"/>
  <c r="BG25" i="3" s="1"/>
  <c r="BC25" i="3"/>
  <c r="BD25" i="3" s="1"/>
  <c r="AZ25" i="3"/>
  <c r="BB25" i="3" l="1"/>
  <c r="BA25" i="3"/>
  <c r="AH26" i="3"/>
  <c r="AK26" i="3" l="1"/>
  <c r="AI26" i="3"/>
  <c r="AL26" i="3" l="1"/>
  <c r="AX26" i="3"/>
  <c r="AW26" i="3"/>
  <c r="AU26" i="3"/>
  <c r="AV26" i="3" l="1"/>
  <c r="AT27" i="3"/>
  <c r="BC26" i="3"/>
  <c r="BD26" i="3" s="1"/>
  <c r="AZ26" i="3"/>
  <c r="BF26" i="3"/>
  <c r="BG26" i="3" s="1"/>
  <c r="AY26" i="3"/>
  <c r="BB26" i="3" l="1"/>
  <c r="BA26" i="3"/>
  <c r="AH27" i="3"/>
  <c r="AI27" i="3" l="1"/>
  <c r="AK27" i="3"/>
  <c r="AX27" i="3" l="1"/>
  <c r="AW27" i="3"/>
  <c r="AL27" i="3"/>
  <c r="AU27" i="3"/>
  <c r="AV27" i="3" l="1"/>
  <c r="AT28" i="3"/>
  <c r="AY27" i="3"/>
  <c r="BF27" i="3"/>
  <c r="BG27" i="3" s="1"/>
  <c r="AZ27" i="3"/>
  <c r="BC27" i="3"/>
  <c r="BD27" i="3" s="1"/>
  <c r="BB27" i="3" l="1"/>
  <c r="BA27" i="3"/>
  <c r="AH28" i="3"/>
  <c r="AK28" i="3" l="1"/>
  <c r="AI28" i="3"/>
  <c r="AL28" i="3" l="1"/>
  <c r="AW28" i="3"/>
  <c r="AX28" i="3"/>
  <c r="AU28" i="3"/>
  <c r="AV28" i="3" l="1"/>
  <c r="AT29" i="3"/>
  <c r="BF28" i="3"/>
  <c r="BG28" i="3" s="1"/>
  <c r="BC28" i="3"/>
  <c r="BD28" i="3" s="1"/>
  <c r="AZ28" i="3"/>
  <c r="AY28" i="3"/>
  <c r="BB28" i="3" l="1"/>
  <c r="BA28" i="3"/>
  <c r="AH29" i="3"/>
  <c r="AI29" i="3" l="1"/>
  <c r="AK29" i="3"/>
  <c r="AL29" i="3" l="1"/>
  <c r="AW29" i="3"/>
  <c r="AX29" i="3"/>
  <c r="AU29" i="3"/>
  <c r="AT30" i="3" l="1"/>
  <c r="AV29" i="3"/>
  <c r="AY29" i="3"/>
  <c r="BC29" i="3"/>
  <c r="BD29" i="3" s="1"/>
  <c r="BF29" i="3"/>
  <c r="BG29" i="3" s="1"/>
  <c r="AZ29" i="3"/>
  <c r="BB29" i="3" l="1"/>
  <c r="BA29" i="3"/>
  <c r="AH30" i="3"/>
  <c r="AK30" i="3" l="1"/>
  <c r="AI30" i="3"/>
  <c r="AL30" i="3" l="1"/>
  <c r="AW30" i="3"/>
  <c r="AX30" i="3"/>
  <c r="AU30" i="3"/>
  <c r="AV30" i="3" l="1"/>
  <c r="AT31" i="3"/>
  <c r="BC30" i="3"/>
  <c r="BD30" i="3" s="1"/>
  <c r="BF30" i="3"/>
  <c r="BG30" i="3" s="1"/>
  <c r="AZ30" i="3"/>
  <c r="AY30" i="3"/>
  <c r="BB30" i="3" l="1"/>
  <c r="BA30" i="3"/>
  <c r="AH31" i="3"/>
  <c r="AK31" i="3" l="1"/>
  <c r="AI31" i="3"/>
  <c r="AL31" i="3" l="1"/>
  <c r="AW31" i="3"/>
  <c r="AX31" i="3"/>
  <c r="AU31" i="3"/>
  <c r="AT32" i="3" l="1"/>
  <c r="AV31" i="3"/>
  <c r="BC31" i="3"/>
  <c r="BD31" i="3" s="1"/>
  <c r="AY31" i="3"/>
  <c r="BF31" i="3"/>
  <c r="BG31" i="3" s="1"/>
  <c r="AZ31" i="3"/>
  <c r="BB31" i="3" l="1"/>
  <c r="BA31" i="3"/>
  <c r="AH32" i="3"/>
  <c r="AK32" i="3" l="1"/>
  <c r="AI32" i="3"/>
  <c r="AL32" i="3" l="1"/>
  <c r="AX32" i="3"/>
  <c r="AW32" i="3"/>
  <c r="AU32" i="3"/>
  <c r="AT33" i="3" l="1"/>
  <c r="AV32" i="3"/>
  <c r="AZ32" i="3"/>
  <c r="BF32" i="3"/>
  <c r="BG32" i="3" s="1"/>
  <c r="AY32" i="3"/>
  <c r="BC32" i="3"/>
  <c r="BD32" i="3" s="1"/>
  <c r="BB32" i="3" l="1"/>
  <c r="BA32" i="3"/>
  <c r="AH33" i="3"/>
  <c r="AK33" i="3" l="1"/>
  <c r="AI33" i="3"/>
  <c r="AL33" i="3" l="1"/>
  <c r="AX33" i="3"/>
  <c r="AW33" i="3"/>
  <c r="AU33" i="3"/>
  <c r="AV33" i="3" l="1"/>
  <c r="AT34" i="3"/>
  <c r="BF33" i="3"/>
  <c r="BG33" i="3" s="1"/>
  <c r="BC33" i="3"/>
  <c r="BD33" i="3" s="1"/>
  <c r="AY33" i="3"/>
  <c r="AZ33" i="3"/>
  <c r="BB33" i="3" l="1"/>
  <c r="BA33" i="3"/>
  <c r="AH34" i="3"/>
  <c r="AK34" i="3" l="1"/>
  <c r="AI34" i="3"/>
  <c r="AL34" i="3" l="1"/>
  <c r="AX34" i="3"/>
  <c r="AW34" i="3"/>
  <c r="AU34" i="3"/>
  <c r="AT35" i="3" l="1"/>
  <c r="AV34" i="3"/>
  <c r="AZ34" i="3"/>
  <c r="AY34" i="3"/>
  <c r="BF34" i="3"/>
  <c r="BG34" i="3" s="1"/>
  <c r="BC34" i="3"/>
  <c r="BD34" i="3" s="1"/>
  <c r="BB34" i="3" l="1"/>
  <c r="BA34" i="3"/>
  <c r="AH35" i="3"/>
  <c r="AI35" i="3" l="1"/>
  <c r="AK35" i="3"/>
  <c r="AL35" i="3" l="1"/>
  <c r="AW35" i="3"/>
  <c r="AX35" i="3"/>
  <c r="AU35" i="3"/>
  <c r="AT36" i="3" l="1"/>
  <c r="AV35" i="3"/>
  <c r="AY35" i="3"/>
  <c r="BF35" i="3"/>
  <c r="BG35" i="3" s="1"/>
  <c r="AZ35" i="3"/>
  <c r="BC35" i="3"/>
  <c r="BD35" i="3" s="1"/>
  <c r="BB35" i="3" l="1"/>
  <c r="BA35" i="3"/>
  <c r="AH36" i="3"/>
  <c r="AI36" i="3" l="1"/>
  <c r="AK36" i="3"/>
  <c r="AL36" i="3" l="1"/>
  <c r="AX36" i="3"/>
  <c r="AW36" i="3"/>
  <c r="AU36" i="3"/>
  <c r="AT37" i="3" l="1"/>
  <c r="AV36" i="3"/>
  <c r="AZ36" i="3"/>
  <c r="AY36" i="3"/>
  <c r="BF36" i="3"/>
  <c r="BG36" i="3" s="1"/>
  <c r="BC36" i="3"/>
  <c r="BD36" i="3" s="1"/>
  <c r="BB36" i="3" l="1"/>
  <c r="BA36" i="3"/>
  <c r="AH37" i="3"/>
  <c r="AI37" i="3" l="1"/>
  <c r="AK37" i="3"/>
  <c r="AX37" i="3" l="1"/>
  <c r="AW37" i="3"/>
  <c r="AL37" i="3"/>
  <c r="AU37" i="3"/>
  <c r="AT38" i="3" l="1"/>
  <c r="AV37" i="3"/>
  <c r="BF37" i="3"/>
  <c r="BG37" i="3" s="1"/>
  <c r="BC37" i="3"/>
  <c r="BD37" i="3" s="1"/>
  <c r="AZ37" i="3"/>
  <c r="AY37" i="3"/>
  <c r="BB37" i="3" l="1"/>
  <c r="BA37" i="3"/>
  <c r="AH38" i="3"/>
  <c r="AI38" i="3" l="1"/>
  <c r="AK38" i="3"/>
  <c r="AL38" i="3" l="1"/>
  <c r="AX38" i="3"/>
  <c r="AW38" i="3"/>
  <c r="AU38" i="3"/>
  <c r="AV38" i="3" l="1"/>
  <c r="AT39" i="3"/>
  <c r="BF38" i="3"/>
  <c r="BG38" i="3" s="1"/>
  <c r="BC38" i="3"/>
  <c r="BD38" i="3" s="1"/>
  <c r="AZ38" i="3"/>
  <c r="AY38" i="3"/>
  <c r="BB38" i="3" l="1"/>
  <c r="BA38" i="3"/>
  <c r="AH39" i="3"/>
  <c r="AI39" i="3" l="1"/>
  <c r="AK39" i="3"/>
  <c r="AX39" i="3" l="1"/>
  <c r="AL39" i="3"/>
  <c r="AW39" i="3"/>
  <c r="AU39" i="3"/>
  <c r="AV39" i="3" l="1"/>
  <c r="AT40" i="3"/>
  <c r="BF39" i="3"/>
  <c r="BG39" i="3" s="1"/>
  <c r="AZ39" i="3"/>
  <c r="AY39" i="3"/>
  <c r="BC39" i="3"/>
  <c r="BD39" i="3" s="1"/>
  <c r="BB39" i="3" l="1"/>
  <c r="BA39" i="3"/>
  <c r="AH40" i="3"/>
  <c r="AK40" i="3" l="1"/>
  <c r="AI40" i="3"/>
  <c r="AL40" i="3" l="1"/>
  <c r="AX40" i="3"/>
  <c r="AW40" i="3"/>
  <c r="AU40" i="3"/>
  <c r="AV40" i="3" l="1"/>
  <c r="AT41" i="3"/>
  <c r="AZ40" i="3"/>
  <c r="BF40" i="3"/>
  <c r="BG40" i="3" s="1"/>
  <c r="BC40" i="3"/>
  <c r="BD40" i="3" s="1"/>
  <c r="AY40" i="3"/>
  <c r="BB40" i="3" l="1"/>
  <c r="BA40" i="3"/>
  <c r="AH41" i="3"/>
  <c r="AI41" i="3" l="1"/>
  <c r="AK41" i="3"/>
  <c r="AL41" i="3" l="1"/>
  <c r="AX41" i="3"/>
  <c r="AW41" i="3"/>
  <c r="AU41" i="3"/>
  <c r="AT42" i="3" l="1"/>
  <c r="AV41" i="3"/>
  <c r="AY41" i="3"/>
  <c r="AZ41" i="3"/>
  <c r="BC41" i="3"/>
  <c r="BD41" i="3" s="1"/>
  <c r="BF41" i="3"/>
  <c r="BG41" i="3" s="1"/>
  <c r="BB41" i="3" l="1"/>
  <c r="BA41" i="3"/>
  <c r="AH42" i="3"/>
  <c r="AI42" i="3" l="1"/>
  <c r="AK42" i="3"/>
  <c r="AL42" i="3" l="1"/>
  <c r="AW42" i="3"/>
  <c r="AX42" i="3"/>
  <c r="AU42" i="3"/>
  <c r="AT43" i="3" l="1"/>
  <c r="AV42" i="3"/>
  <c r="BF42" i="3"/>
  <c r="BG42" i="3" s="1"/>
  <c r="AZ42" i="3"/>
  <c r="AY42" i="3"/>
  <c r="BC42" i="3"/>
  <c r="BD42" i="3" s="1"/>
  <c r="BB42" i="3" l="1"/>
  <c r="BA42" i="3"/>
  <c r="AH43" i="3"/>
  <c r="AI43" i="3" l="1"/>
  <c r="AK43" i="3"/>
  <c r="AL43" i="3" l="1"/>
  <c r="AX43" i="3"/>
  <c r="AW43" i="3"/>
  <c r="AU43" i="3"/>
  <c r="AT44" i="3" l="1"/>
  <c r="AV43" i="3"/>
  <c r="BF43" i="3"/>
  <c r="BG43" i="3" s="1"/>
  <c r="AY43" i="3"/>
  <c r="AZ43" i="3"/>
  <c r="BC43" i="3"/>
  <c r="BD43" i="3" s="1"/>
  <c r="BB43" i="3" l="1"/>
  <c r="BA43" i="3"/>
  <c r="AH44" i="3"/>
  <c r="AK44" i="3" l="1"/>
  <c r="AI44" i="3"/>
  <c r="AX44" i="3" l="1"/>
  <c r="AW44" i="3"/>
  <c r="AL44" i="3"/>
  <c r="AU44" i="3"/>
  <c r="AV44" i="3" l="1"/>
  <c r="AT45" i="3"/>
  <c r="AY44" i="3"/>
  <c r="BF44" i="3"/>
  <c r="BG44" i="3" s="1"/>
  <c r="AZ44" i="3"/>
  <c r="BC44" i="3"/>
  <c r="BD44" i="3" s="1"/>
  <c r="BB44" i="3" l="1"/>
  <c r="BA44" i="3"/>
  <c r="AH45" i="3"/>
  <c r="AK45" i="3" l="1"/>
  <c r="AI45" i="3"/>
  <c r="AL45" i="3" l="1"/>
  <c r="AW45" i="3"/>
  <c r="AX45" i="3"/>
  <c r="AU45" i="3"/>
  <c r="AT46" i="3" l="1"/>
  <c r="AV45" i="3"/>
  <c r="AZ45" i="3"/>
  <c r="BF45" i="3"/>
  <c r="BG45" i="3" s="1"/>
  <c r="BC45" i="3"/>
  <c r="BD45" i="3" s="1"/>
  <c r="AY45" i="3"/>
  <c r="BB45" i="3" l="1"/>
  <c r="BA45" i="3"/>
  <c r="AH46" i="3"/>
  <c r="AI46" i="3" l="1"/>
  <c r="AK46" i="3"/>
  <c r="AL46" i="3" l="1"/>
  <c r="AW46" i="3"/>
  <c r="AX46" i="3"/>
  <c r="AU46" i="3"/>
  <c r="AV46" i="3" l="1"/>
  <c r="AT47" i="3"/>
  <c r="AZ46" i="3"/>
  <c r="AY46" i="3"/>
  <c r="BF46" i="3"/>
  <c r="BG46" i="3" s="1"/>
  <c r="BC46" i="3"/>
  <c r="BD46" i="3" s="1"/>
  <c r="BB46" i="3" l="1"/>
  <c r="BA46" i="3"/>
  <c r="AH47" i="3"/>
  <c r="AK47" i="3" l="1"/>
  <c r="AI47" i="3"/>
  <c r="AL47" i="3" l="1"/>
  <c r="AX47" i="3"/>
  <c r="AW47" i="3"/>
  <c r="AU47" i="3"/>
  <c r="AV47" i="3" l="1"/>
  <c r="AT48" i="3"/>
  <c r="BF47" i="3"/>
  <c r="BG47" i="3" s="1"/>
  <c r="AY47" i="3"/>
  <c r="AZ47" i="3"/>
  <c r="BC47" i="3"/>
  <c r="BD47" i="3" s="1"/>
  <c r="BB47" i="3" l="1"/>
  <c r="BA47" i="3"/>
  <c r="AH48" i="3"/>
  <c r="AI48" i="3" l="1"/>
  <c r="AK48" i="3"/>
  <c r="AW48" i="3" l="1"/>
  <c r="AL48" i="3"/>
  <c r="AX48" i="3"/>
  <c r="AU48" i="3"/>
  <c r="AV48" i="3" l="1"/>
  <c r="AT49" i="3"/>
  <c r="AY48" i="3"/>
  <c r="BF48" i="3"/>
  <c r="BG48" i="3" s="1"/>
  <c r="AZ48" i="3"/>
  <c r="BC48" i="3"/>
  <c r="BD48" i="3" s="1"/>
  <c r="BB48" i="3" l="1"/>
  <c r="BA48" i="3"/>
  <c r="AH49" i="3"/>
  <c r="AK49" i="3" l="1"/>
  <c r="AI49" i="3"/>
  <c r="AX49" i="3" l="1"/>
  <c r="AW49" i="3"/>
  <c r="AL49" i="3"/>
  <c r="AU49" i="3"/>
  <c r="AV49" i="3" l="1"/>
  <c r="AT50" i="3"/>
  <c r="AZ49" i="3"/>
  <c r="BC49" i="3"/>
  <c r="BD49" i="3" s="1"/>
  <c r="AY49" i="3"/>
  <c r="BF49" i="3"/>
  <c r="BG49" i="3" s="1"/>
  <c r="BB49" i="3" l="1"/>
  <c r="BA49" i="3"/>
  <c r="AH50" i="3"/>
  <c r="AI50" i="3" l="1"/>
  <c r="AK50" i="3"/>
  <c r="AW50" i="3" l="1"/>
  <c r="AL50" i="3"/>
  <c r="AX50" i="3"/>
  <c r="AU50" i="3"/>
  <c r="AT51" i="3" l="1"/>
  <c r="AV50" i="3"/>
  <c r="AY50" i="3"/>
  <c r="BC50" i="3"/>
  <c r="BD50" i="3" s="1"/>
  <c r="BF50" i="3"/>
  <c r="BG50" i="3" s="1"/>
  <c r="AZ50" i="3"/>
  <c r="BB50" i="3" l="1"/>
  <c r="BA50" i="3"/>
  <c r="AH51" i="3"/>
  <c r="AI51" i="3" l="1"/>
  <c r="AK51" i="3"/>
  <c r="AW51" i="3" l="1"/>
  <c r="AX51" i="3"/>
  <c r="AL51" i="3"/>
  <c r="AU51" i="3"/>
  <c r="AT52" i="3" l="1"/>
  <c r="AV51" i="3"/>
  <c r="AZ51" i="3"/>
  <c r="BC51" i="3"/>
  <c r="BD51" i="3" s="1"/>
  <c r="AY51" i="3"/>
  <c r="BF51" i="3"/>
  <c r="BG51" i="3" s="1"/>
  <c r="BB51" i="3" l="1"/>
  <c r="BA51" i="3"/>
  <c r="AH52" i="3"/>
  <c r="AK52" i="3" l="1"/>
  <c r="AI52" i="3"/>
  <c r="AW52" i="3" l="1"/>
  <c r="AL52" i="3"/>
  <c r="AX52" i="3"/>
  <c r="AU52" i="3"/>
  <c r="AY52" i="3" l="1"/>
  <c r="AZ52" i="3"/>
  <c r="BF52" i="3"/>
  <c r="BG52" i="3" s="1"/>
  <c r="BC52" i="3"/>
  <c r="BD52" i="3" s="1"/>
  <c r="AT53" i="3"/>
  <c r="AV52" i="3"/>
  <c r="BB52" i="3" l="1"/>
  <c r="BA52" i="3"/>
  <c r="AH53" i="3"/>
  <c r="AI53" i="3" l="1"/>
  <c r="AK53" i="3"/>
  <c r="AL53" i="3" l="1"/>
  <c r="AX53" i="3"/>
  <c r="AW53" i="3"/>
  <c r="AU53" i="3"/>
  <c r="AT54" i="3" l="1"/>
  <c r="AV53" i="3"/>
  <c r="AZ53" i="3"/>
  <c r="BC53" i="3"/>
  <c r="BD53" i="3" s="1"/>
  <c r="AY53" i="3"/>
  <c r="BF53" i="3"/>
  <c r="BG53" i="3" s="1"/>
  <c r="BB53" i="3" l="1"/>
  <c r="BA53" i="3"/>
  <c r="AH54" i="3"/>
  <c r="AI54" i="3" l="1"/>
  <c r="AK54" i="3"/>
  <c r="AL54" i="3" l="1"/>
  <c r="AX54" i="3"/>
  <c r="AW54" i="3"/>
  <c r="AU54" i="3"/>
  <c r="AT55" i="3" l="1"/>
  <c r="AV54" i="3"/>
  <c r="AY54" i="3"/>
  <c r="AZ54" i="3"/>
  <c r="BF54" i="3"/>
  <c r="BG54" i="3" s="1"/>
  <c r="BC54" i="3"/>
  <c r="BD54" i="3" s="1"/>
  <c r="BB54" i="3" l="1"/>
  <c r="BA54" i="3"/>
  <c r="AH55" i="3"/>
  <c r="AI55" i="3" l="1"/>
  <c r="AK55" i="3"/>
  <c r="AL55" i="3" l="1"/>
  <c r="AX55" i="3"/>
  <c r="AW55" i="3"/>
  <c r="AU55" i="3"/>
  <c r="AV55" i="3" l="1"/>
  <c r="AT56" i="3"/>
  <c r="AY55" i="3"/>
  <c r="BF55" i="3"/>
  <c r="BG55" i="3" s="1"/>
  <c r="BC55" i="3"/>
  <c r="BD55" i="3" s="1"/>
  <c r="AZ55" i="3"/>
  <c r="BB55" i="3" l="1"/>
  <c r="BA55" i="3"/>
  <c r="AH56" i="3"/>
  <c r="AI56" i="3" l="1"/>
  <c r="AK56" i="3"/>
  <c r="AL56" i="3" l="1"/>
  <c r="AX56" i="3"/>
  <c r="AW56" i="3"/>
  <c r="AU56" i="3"/>
  <c r="AT57" i="3" l="1"/>
  <c r="AV56" i="3"/>
  <c r="AY56" i="3"/>
  <c r="BF56" i="3"/>
  <c r="BG56" i="3" s="1"/>
  <c r="BC56" i="3"/>
  <c r="BD56" i="3" s="1"/>
  <c r="AZ56" i="3"/>
  <c r="BB56" i="3" l="1"/>
  <c r="BA56" i="3"/>
  <c r="AH57" i="3"/>
  <c r="AK57" i="3" l="1"/>
  <c r="AI57" i="3"/>
  <c r="AL57" i="3" l="1"/>
  <c r="AX57" i="3"/>
  <c r="AW57" i="3"/>
  <c r="AU57" i="3"/>
  <c r="AT58" i="3" l="1"/>
  <c r="AV57" i="3"/>
  <c r="BC57" i="3"/>
  <c r="BD57" i="3" s="1"/>
  <c r="AY57" i="3"/>
  <c r="AZ57" i="3"/>
  <c r="BF57" i="3"/>
  <c r="BG57" i="3" s="1"/>
  <c r="BB57" i="3" l="1"/>
  <c r="BA57" i="3"/>
  <c r="AH58" i="3"/>
  <c r="AI58" i="3" l="1"/>
  <c r="AK58" i="3"/>
  <c r="AL58" i="3" l="1"/>
  <c r="AW58" i="3"/>
  <c r="AX58" i="3"/>
  <c r="AU58" i="3"/>
  <c r="AV58" i="3" l="1"/>
  <c r="AT59" i="3"/>
  <c r="AY58" i="3"/>
  <c r="BF58" i="3"/>
  <c r="BG58" i="3" s="1"/>
  <c r="AZ58" i="3"/>
  <c r="BC58" i="3"/>
  <c r="BD58" i="3" s="1"/>
  <c r="BB58" i="3" l="1"/>
  <c r="BA58" i="3"/>
  <c r="AH59" i="3"/>
  <c r="AK59" i="3" l="1"/>
  <c r="AI59" i="3"/>
  <c r="AL59" i="3" l="1"/>
  <c r="AX59" i="3"/>
  <c r="AW59" i="3"/>
  <c r="AU59" i="3"/>
  <c r="AT60" i="3" l="1"/>
  <c r="AV59" i="3"/>
  <c r="AY59" i="3"/>
  <c r="BC59" i="3"/>
  <c r="BD59" i="3" s="1"/>
  <c r="BF59" i="3"/>
  <c r="BG59" i="3" s="1"/>
  <c r="AZ59" i="3"/>
  <c r="BB59" i="3" l="1"/>
  <c r="BA59" i="3"/>
  <c r="AH60" i="3"/>
  <c r="AK60" i="3" l="1"/>
  <c r="AI60" i="3"/>
  <c r="AX60" i="3" l="1"/>
  <c r="AW60" i="3"/>
  <c r="AL60" i="3"/>
  <c r="AU60" i="3"/>
  <c r="AV60" i="3" l="1"/>
  <c r="AT61" i="3"/>
  <c r="BF60" i="3"/>
  <c r="BG60" i="3" s="1"/>
  <c r="AZ60" i="3"/>
  <c r="BC60" i="3"/>
  <c r="BD60" i="3" s="1"/>
  <c r="AY60" i="3"/>
  <c r="BB60" i="3" l="1"/>
  <c r="BA60" i="3"/>
  <c r="AH61" i="3"/>
  <c r="AK61" i="3" l="1"/>
  <c r="AI61" i="3"/>
  <c r="AL61" i="3" l="1"/>
  <c r="AX61" i="3"/>
  <c r="AW61" i="3"/>
  <c r="AU61" i="3"/>
  <c r="AT62" i="3" l="1"/>
  <c r="AV61" i="3"/>
  <c r="BF61" i="3"/>
  <c r="BG61" i="3" s="1"/>
  <c r="BC61" i="3"/>
  <c r="BD61" i="3" s="1"/>
  <c r="AY61" i="3"/>
  <c r="AZ61" i="3"/>
  <c r="BB61" i="3" l="1"/>
  <c r="BA61" i="3"/>
  <c r="AH62" i="3"/>
  <c r="AI62" i="3" l="1"/>
  <c r="AK62" i="3"/>
  <c r="AW62" i="3" l="1"/>
  <c r="AX62" i="3"/>
  <c r="AL62" i="3"/>
  <c r="AU62" i="3"/>
  <c r="AV62" i="3" l="1"/>
  <c r="AT63" i="3"/>
  <c r="BC62" i="3"/>
  <c r="BD62" i="3" s="1"/>
  <c r="AY62" i="3"/>
  <c r="BF62" i="3"/>
  <c r="BG62" i="3" s="1"/>
  <c r="AZ62" i="3"/>
  <c r="BB62" i="3" l="1"/>
  <c r="BA62" i="3"/>
  <c r="AH63" i="3"/>
  <c r="AI63" i="3" l="1"/>
  <c r="AK63" i="3"/>
  <c r="AL63" i="3" l="1"/>
  <c r="AX63" i="3"/>
  <c r="AW63" i="3"/>
  <c r="AU63" i="3"/>
  <c r="AT64" i="3" l="1"/>
  <c r="AV63" i="3"/>
  <c r="AY63" i="3"/>
  <c r="BF63" i="3"/>
  <c r="BG63" i="3" s="1"/>
  <c r="BC63" i="3"/>
  <c r="BD63" i="3" s="1"/>
  <c r="AZ63" i="3"/>
  <c r="BB63" i="3" l="1"/>
  <c r="BA63" i="3"/>
  <c r="AH64" i="3"/>
  <c r="AI64" i="3" l="1"/>
  <c r="AK64" i="3"/>
  <c r="AL64" i="3" l="1"/>
  <c r="AX64" i="3"/>
  <c r="AW64" i="3"/>
  <c r="AU64" i="3"/>
  <c r="AT65" i="3" l="1"/>
  <c r="AV64" i="3"/>
  <c r="BC64" i="3"/>
  <c r="BD64" i="3" s="1"/>
  <c r="AZ64" i="3"/>
  <c r="AY64" i="3"/>
  <c r="BF64" i="3"/>
  <c r="BG64" i="3" s="1"/>
  <c r="BB64" i="3" l="1"/>
  <c r="BA64" i="3"/>
  <c r="AH65" i="3"/>
  <c r="AI65" i="3" l="1"/>
  <c r="AK65" i="3"/>
  <c r="AL65" i="3" l="1"/>
  <c r="AW65" i="3"/>
  <c r="AX65" i="3"/>
  <c r="AU65" i="3"/>
  <c r="AT66" i="3" l="1"/>
  <c r="AV65" i="3"/>
  <c r="BF65" i="3"/>
  <c r="BG65" i="3" s="1"/>
  <c r="AZ65" i="3"/>
  <c r="AY65" i="3"/>
  <c r="BC65" i="3"/>
  <c r="BD65" i="3" s="1"/>
  <c r="BB65" i="3" l="1"/>
  <c r="BA65" i="3"/>
  <c r="AH66" i="3"/>
  <c r="AK66" i="3" l="1"/>
  <c r="AI66" i="3"/>
  <c r="AL66" i="3" l="1"/>
  <c r="AW66" i="3"/>
  <c r="AX66" i="3"/>
  <c r="AU66" i="3"/>
  <c r="AV66" i="3" l="1"/>
  <c r="AT67" i="3"/>
  <c r="AZ66" i="3"/>
  <c r="BF66" i="3"/>
  <c r="BG66" i="3" s="1"/>
  <c r="BC66" i="3"/>
  <c r="BD66" i="3" s="1"/>
  <c r="AY66" i="3"/>
  <c r="BB66" i="3" l="1"/>
  <c r="BA66" i="3"/>
  <c r="AH67" i="3"/>
  <c r="AK67" i="3" l="1"/>
  <c r="AI67" i="3"/>
  <c r="AX67" i="3" l="1"/>
  <c r="AW67" i="3"/>
  <c r="AL67" i="3"/>
  <c r="AU67" i="3"/>
  <c r="AT68" i="3" l="1"/>
  <c r="AV67" i="3"/>
  <c r="AY67" i="3"/>
  <c r="BF67" i="3"/>
  <c r="BG67" i="3" s="1"/>
  <c r="BC67" i="3"/>
  <c r="BD67" i="3" s="1"/>
  <c r="AZ67" i="3"/>
  <c r="BB67" i="3" l="1"/>
  <c r="BA67" i="3"/>
  <c r="AH68" i="3"/>
  <c r="AI68" i="3" l="1"/>
  <c r="AK68" i="3"/>
  <c r="AX68" i="3" l="1"/>
  <c r="AL68" i="3"/>
  <c r="AW68" i="3"/>
  <c r="AU68" i="3"/>
  <c r="AT69" i="3" l="1"/>
  <c r="AV68" i="3"/>
  <c r="AZ68" i="3"/>
  <c r="BF68" i="3"/>
  <c r="BG68" i="3" s="1"/>
  <c r="BC68" i="3"/>
  <c r="BD68" i="3" s="1"/>
  <c r="AY68" i="3"/>
  <c r="BB68" i="3" l="1"/>
  <c r="BA68" i="3"/>
  <c r="AH69" i="3"/>
  <c r="AI69" i="3" l="1"/>
  <c r="AK69" i="3"/>
  <c r="AW69" i="3" l="1"/>
  <c r="AL69" i="3"/>
  <c r="AX69" i="3"/>
  <c r="AU69" i="3"/>
  <c r="AT70" i="3" l="1"/>
  <c r="AV69" i="3"/>
  <c r="BF69" i="3"/>
  <c r="BG69" i="3" s="1"/>
  <c r="AY69" i="3"/>
  <c r="AZ69" i="3"/>
  <c r="BC69" i="3"/>
  <c r="BD69" i="3" s="1"/>
  <c r="BB69" i="3" l="1"/>
  <c r="BA69" i="3"/>
  <c r="AH70" i="3"/>
  <c r="AK70" i="3" l="1"/>
  <c r="AI70" i="3"/>
  <c r="AL70" i="3" l="1"/>
  <c r="AX70" i="3"/>
  <c r="AW70" i="3"/>
  <c r="AU70" i="3"/>
  <c r="AT71" i="3" l="1"/>
  <c r="AV70" i="3"/>
  <c r="AZ70" i="3"/>
  <c r="AY70" i="3"/>
  <c r="BF70" i="3"/>
  <c r="BG70" i="3" s="1"/>
  <c r="BC70" i="3"/>
  <c r="BD70" i="3" s="1"/>
  <c r="BB70" i="3" l="1"/>
  <c r="BA70" i="3"/>
  <c r="AH71" i="3"/>
  <c r="AI71" i="3" l="1"/>
  <c r="AK71" i="3"/>
  <c r="AW71" i="3" l="1"/>
  <c r="AL71" i="3"/>
  <c r="AX71" i="3"/>
  <c r="AU71" i="3"/>
  <c r="AT72" i="3" l="1"/>
  <c r="AV71" i="3"/>
  <c r="BC71" i="3"/>
  <c r="BD71" i="3" s="1"/>
  <c r="BF71" i="3"/>
  <c r="BG71" i="3" s="1"/>
  <c r="AZ71" i="3"/>
  <c r="AY71" i="3"/>
  <c r="BB71" i="3" l="1"/>
  <c r="BA71" i="3"/>
  <c r="AH72" i="3"/>
  <c r="AK72" i="3" l="1"/>
  <c r="AI72" i="3"/>
  <c r="AL72" i="3" l="1"/>
  <c r="AX72" i="3"/>
  <c r="AW72" i="3"/>
  <c r="AU72" i="3"/>
  <c r="AT73" i="3" l="1"/>
  <c r="AV72" i="3"/>
  <c r="BF72" i="3"/>
  <c r="BG72" i="3" s="1"/>
  <c r="AY72" i="3"/>
  <c r="BC72" i="3"/>
  <c r="BD72" i="3" s="1"/>
  <c r="AZ72" i="3"/>
  <c r="BB72" i="3" l="1"/>
  <c r="BA72" i="3"/>
  <c r="AH73" i="3"/>
  <c r="AK73" i="3" l="1"/>
  <c r="AI73" i="3"/>
  <c r="AX73" i="3" l="1"/>
  <c r="AW73" i="3"/>
  <c r="AL73" i="3"/>
  <c r="AU73" i="3"/>
  <c r="AT74" i="3" l="1"/>
  <c r="AV73" i="3"/>
  <c r="BF73" i="3"/>
  <c r="BG73" i="3" s="1"/>
  <c r="AZ73" i="3"/>
  <c r="AY73" i="3"/>
  <c r="BC73" i="3"/>
  <c r="BD73" i="3" s="1"/>
  <c r="BB73" i="3" l="1"/>
  <c r="BA73" i="3"/>
  <c r="AH74" i="3"/>
  <c r="AK74" i="3" l="1"/>
  <c r="AI74" i="3"/>
  <c r="AL74" i="3" l="1"/>
  <c r="AX74" i="3"/>
  <c r="AW74" i="3"/>
  <c r="AU74" i="3"/>
  <c r="AT75" i="3" l="1"/>
  <c r="AV74" i="3"/>
  <c r="AY74" i="3"/>
  <c r="BC74" i="3"/>
  <c r="BD74" i="3" s="1"/>
  <c r="AZ74" i="3"/>
  <c r="BF74" i="3"/>
  <c r="BG74" i="3" s="1"/>
  <c r="BB74" i="3" l="1"/>
  <c r="BA74" i="3"/>
  <c r="AH75" i="3"/>
  <c r="AK75" i="3" l="1"/>
  <c r="AI75" i="3"/>
  <c r="AL75" i="3" l="1"/>
  <c r="AX75" i="3"/>
  <c r="AW75" i="3"/>
  <c r="AU75" i="3"/>
  <c r="AV75" i="3" l="1"/>
  <c r="AT76" i="3"/>
  <c r="AY75" i="3"/>
  <c r="AZ75" i="3"/>
  <c r="BF75" i="3"/>
  <c r="BG75" i="3" s="1"/>
  <c r="BC75" i="3"/>
  <c r="BD75" i="3" s="1"/>
  <c r="BB75" i="3" l="1"/>
  <c r="BA75" i="3"/>
  <c r="AH76" i="3"/>
  <c r="AI76" i="3" l="1"/>
  <c r="AK76" i="3"/>
  <c r="AL76" i="3" l="1"/>
  <c r="AW76" i="3"/>
  <c r="AX76" i="3"/>
  <c r="AU76" i="3"/>
  <c r="AV76" i="3" l="1"/>
  <c r="AT77" i="3"/>
  <c r="AZ76" i="3"/>
  <c r="BC76" i="3"/>
  <c r="BD76" i="3" s="1"/>
  <c r="AY76" i="3"/>
  <c r="BF76" i="3"/>
  <c r="BG76" i="3" s="1"/>
  <c r="BB76" i="3" l="1"/>
  <c r="BA76" i="3"/>
  <c r="AH77" i="3"/>
  <c r="AI77" i="3" l="1"/>
  <c r="AK77" i="3"/>
  <c r="AL77" i="3" l="1"/>
  <c r="AX77" i="3"/>
  <c r="AW77" i="3"/>
  <c r="AU77" i="3"/>
  <c r="AV77" i="3" l="1"/>
  <c r="AT78" i="3"/>
  <c r="BF77" i="3"/>
  <c r="BG77" i="3" s="1"/>
  <c r="AZ77" i="3"/>
  <c r="AY77" i="3"/>
  <c r="BC77" i="3"/>
  <c r="BD77" i="3" s="1"/>
  <c r="BB77" i="3" l="1"/>
  <c r="BA77" i="3"/>
  <c r="AH78" i="3"/>
  <c r="AI78" i="3" l="1"/>
  <c r="AK78" i="3"/>
  <c r="AL78" i="3" l="1"/>
  <c r="AX78" i="3"/>
  <c r="AW78" i="3"/>
  <c r="AU78" i="3"/>
  <c r="AT79" i="3" l="1"/>
  <c r="AV78" i="3"/>
  <c r="AZ78" i="3"/>
  <c r="AY78" i="3"/>
  <c r="BF78" i="3"/>
  <c r="BG78" i="3" s="1"/>
  <c r="BC78" i="3"/>
  <c r="BD78" i="3" s="1"/>
  <c r="BB78" i="3" l="1"/>
  <c r="BA78" i="3"/>
  <c r="AH79" i="3"/>
  <c r="AK79" i="3" l="1"/>
  <c r="AI79" i="3"/>
  <c r="AL79" i="3" l="1"/>
  <c r="AX79" i="3"/>
  <c r="AW79" i="3"/>
  <c r="AU79" i="3"/>
  <c r="AT80" i="3" l="1"/>
  <c r="AV79" i="3"/>
  <c r="AY79" i="3"/>
  <c r="BC79" i="3"/>
  <c r="BD79" i="3" s="1"/>
  <c r="BF79" i="3"/>
  <c r="BG79" i="3" s="1"/>
  <c r="AZ79" i="3"/>
  <c r="BB79" i="3" l="1"/>
  <c r="BA79" i="3"/>
  <c r="AH80" i="3"/>
  <c r="AI80" i="3" l="1"/>
  <c r="AK80" i="3"/>
  <c r="AL80" i="3" l="1"/>
  <c r="AW80" i="3"/>
  <c r="AX80" i="3"/>
  <c r="AU80" i="3"/>
  <c r="AV80" i="3" l="1"/>
  <c r="AT81" i="3"/>
  <c r="BF80" i="3"/>
  <c r="BG80" i="3" s="1"/>
  <c r="BC80" i="3"/>
  <c r="BD80" i="3" s="1"/>
  <c r="AY80" i="3"/>
  <c r="AZ80" i="3"/>
  <c r="BB80" i="3" l="1"/>
  <c r="BA80" i="3"/>
  <c r="AH81" i="3"/>
  <c r="AI81" i="3" l="1"/>
  <c r="AK81" i="3"/>
  <c r="AL81" i="3" l="1"/>
  <c r="AX81" i="3"/>
  <c r="AW81" i="3"/>
  <c r="AU81" i="3"/>
  <c r="AT82" i="3" l="1"/>
  <c r="AV81" i="3"/>
  <c r="BF81" i="3"/>
  <c r="BG81" i="3" s="1"/>
  <c r="BC81" i="3"/>
  <c r="BD81" i="3" s="1"/>
  <c r="AY81" i="3"/>
  <c r="AZ81" i="3"/>
  <c r="BB81" i="3" l="1"/>
  <c r="BA81" i="3"/>
  <c r="AH82" i="3"/>
  <c r="AI82" i="3" l="1"/>
  <c r="AK82" i="3"/>
  <c r="AL82" i="3" l="1"/>
  <c r="AX82" i="3"/>
  <c r="AW82" i="3"/>
  <c r="AU82" i="3"/>
  <c r="AT83" i="3" l="1"/>
  <c r="AV82" i="3"/>
  <c r="AZ82" i="3"/>
  <c r="BF82" i="3"/>
  <c r="BG82" i="3" s="1"/>
  <c r="AY82" i="3"/>
  <c r="BC82" i="3"/>
  <c r="BD82" i="3" s="1"/>
  <c r="BB82" i="3" l="1"/>
  <c r="BA82" i="3"/>
  <c r="AH83" i="3"/>
  <c r="AI83" i="3" l="1"/>
  <c r="AK83" i="3"/>
  <c r="AL83" i="3" l="1"/>
  <c r="AX83" i="3"/>
  <c r="AW83" i="3"/>
  <c r="AU83" i="3"/>
  <c r="AT84" i="3" l="1"/>
  <c r="AV83" i="3"/>
  <c r="AY83" i="3"/>
  <c r="AZ83" i="3"/>
  <c r="BF83" i="3"/>
  <c r="BG83" i="3" s="1"/>
  <c r="BC83" i="3"/>
  <c r="BD83" i="3" s="1"/>
  <c r="BB83" i="3" l="1"/>
  <c r="BA83" i="3"/>
  <c r="AH84" i="3"/>
  <c r="AI84" i="3" l="1"/>
  <c r="AK84" i="3"/>
  <c r="AL84" i="3" l="1"/>
  <c r="AX84" i="3"/>
  <c r="AW84" i="3"/>
  <c r="AU84" i="3"/>
  <c r="AT85" i="3" l="1"/>
  <c r="AV84" i="3"/>
  <c r="AZ84" i="3"/>
  <c r="BC84" i="3"/>
  <c r="BD84" i="3" s="1"/>
  <c r="AY84" i="3"/>
  <c r="BF84" i="3"/>
  <c r="BG84" i="3" s="1"/>
  <c r="BB84" i="3" l="1"/>
  <c r="BA84" i="3"/>
  <c r="AH85" i="3"/>
  <c r="AI85" i="3" l="1"/>
  <c r="AK85" i="3"/>
  <c r="AL85" i="3" l="1"/>
  <c r="AX85" i="3"/>
  <c r="AW85" i="3"/>
  <c r="AU85" i="3"/>
  <c r="AV85" i="3" l="1"/>
  <c r="AT86" i="3"/>
  <c r="AY85" i="3"/>
  <c r="AZ85" i="3"/>
  <c r="BF85" i="3"/>
  <c r="BG85" i="3" s="1"/>
  <c r="BC85" i="3"/>
  <c r="BD85" i="3" s="1"/>
  <c r="BB85" i="3" l="1"/>
  <c r="BA85" i="3"/>
  <c r="AH86" i="3"/>
  <c r="AI86" i="3" l="1"/>
  <c r="AK86" i="3"/>
  <c r="AL86" i="3" l="1"/>
  <c r="AX86" i="3"/>
  <c r="AW86" i="3"/>
  <c r="AU86" i="3"/>
  <c r="AT87" i="3" l="1"/>
  <c r="AV86" i="3"/>
  <c r="AZ86" i="3"/>
  <c r="BC86" i="3"/>
  <c r="BD86" i="3" s="1"/>
  <c r="BF86" i="3"/>
  <c r="BG86" i="3" s="1"/>
  <c r="AY86" i="3"/>
  <c r="BB86" i="3" l="1"/>
  <c r="BA86" i="3"/>
  <c r="AH87" i="3"/>
  <c r="AK87" i="3" l="1"/>
  <c r="AI87" i="3"/>
  <c r="AL87" i="3" l="1"/>
  <c r="AX87" i="3"/>
  <c r="AW87" i="3"/>
  <c r="AU87" i="3"/>
  <c r="AV87" i="3" l="1"/>
  <c r="AT88" i="3"/>
  <c r="AY87" i="3"/>
  <c r="AZ87" i="3"/>
  <c r="BF87" i="3"/>
  <c r="BG87" i="3" s="1"/>
  <c r="BC87" i="3"/>
  <c r="BD87" i="3" s="1"/>
  <c r="BB87" i="3" l="1"/>
  <c r="BA87" i="3"/>
  <c r="AH88" i="3"/>
  <c r="AI88" i="3" l="1"/>
  <c r="AK88" i="3"/>
  <c r="AL88" i="3" l="1"/>
  <c r="AW88" i="3"/>
  <c r="AX88" i="3"/>
  <c r="AU88" i="3"/>
  <c r="AT89" i="3" l="1"/>
  <c r="AV88" i="3"/>
  <c r="BF88" i="3"/>
  <c r="BG88" i="3" s="1"/>
  <c r="AZ88" i="3"/>
  <c r="AY88" i="3"/>
  <c r="BC88" i="3"/>
  <c r="BD88" i="3" s="1"/>
  <c r="BB88" i="3" l="1"/>
  <c r="BA88" i="3"/>
  <c r="AH89" i="3"/>
  <c r="AI89" i="3" l="1"/>
  <c r="AK89" i="3"/>
  <c r="AL89" i="3" l="1"/>
  <c r="AX89" i="3"/>
  <c r="AW89" i="3"/>
  <c r="AU89" i="3"/>
  <c r="AV89" i="3" l="1"/>
  <c r="AT90" i="3"/>
  <c r="BF89" i="3"/>
  <c r="BG89" i="3" s="1"/>
  <c r="AZ89" i="3"/>
  <c r="AY89" i="3"/>
  <c r="BC89" i="3"/>
  <c r="BD89" i="3" s="1"/>
  <c r="BB89" i="3" l="1"/>
  <c r="BA89" i="3"/>
  <c r="AH90" i="3"/>
  <c r="AI90" i="3" l="1"/>
  <c r="AK90" i="3"/>
  <c r="AL90" i="3" l="1"/>
  <c r="AX90" i="3"/>
  <c r="AW90" i="3"/>
  <c r="AU90" i="3"/>
  <c r="AV90" i="3" l="1"/>
  <c r="AT91" i="3"/>
  <c r="AZ90" i="3"/>
  <c r="BC90" i="3"/>
  <c r="BD90" i="3" s="1"/>
  <c r="AY90" i="3"/>
  <c r="BF90" i="3"/>
  <c r="BG90" i="3" s="1"/>
  <c r="BB90" i="3" l="1"/>
  <c r="BA90" i="3"/>
  <c r="AH91" i="3"/>
  <c r="AK91" i="3" l="1"/>
  <c r="AI91" i="3"/>
  <c r="AW91" i="3" l="1"/>
  <c r="AL91" i="3"/>
  <c r="AX91" i="3"/>
  <c r="AU91" i="3"/>
  <c r="BF91" i="3" l="1"/>
  <c r="BG91" i="3" s="1"/>
  <c r="AZ91" i="3"/>
  <c r="AY91" i="3"/>
  <c r="BC91" i="3"/>
  <c r="BD91" i="3" s="1"/>
  <c r="AV91" i="3"/>
  <c r="AT92" i="3"/>
  <c r="BB91" i="3" l="1"/>
  <c r="BA91" i="3"/>
  <c r="AH92" i="3"/>
  <c r="AI92" i="3" l="1"/>
  <c r="AK92" i="3"/>
  <c r="AW92" i="3" l="1"/>
  <c r="AL92" i="3"/>
  <c r="AX92" i="3"/>
  <c r="AU92" i="3"/>
  <c r="AZ92" i="3" l="1"/>
  <c r="BC92" i="3"/>
  <c r="BD92" i="3" s="1"/>
  <c r="AY92" i="3"/>
  <c r="BF92" i="3"/>
  <c r="BG92" i="3" s="1"/>
  <c r="AT93" i="3"/>
  <c r="AV92" i="3"/>
  <c r="BB92" i="3" l="1"/>
  <c r="BA92" i="3"/>
  <c r="AH93" i="3"/>
  <c r="AK93" i="3" l="1"/>
  <c r="AI93" i="3"/>
  <c r="AW93" i="3" l="1"/>
  <c r="AL93" i="3"/>
  <c r="AX93" i="3"/>
  <c r="AU93" i="3"/>
  <c r="AT94" i="3" l="1"/>
  <c r="AV93" i="3"/>
  <c r="BF93" i="3"/>
  <c r="BG93" i="3" s="1"/>
  <c r="BC93" i="3"/>
  <c r="BD93" i="3" s="1"/>
  <c r="AY93" i="3"/>
  <c r="AZ93" i="3"/>
  <c r="BB93" i="3" l="1"/>
  <c r="BA93" i="3"/>
  <c r="AH94" i="3"/>
  <c r="AK94" i="3" l="1"/>
  <c r="AI94" i="3"/>
  <c r="AW94" i="3" l="1"/>
  <c r="AL94" i="3"/>
  <c r="AX94" i="3"/>
  <c r="AU94" i="3"/>
  <c r="AY94" i="3" l="1"/>
  <c r="BC94" i="3"/>
  <c r="BD94" i="3" s="1"/>
  <c r="AZ94" i="3"/>
  <c r="BF94" i="3"/>
  <c r="BG94" i="3" s="1"/>
  <c r="AV94" i="3"/>
  <c r="AT95" i="3"/>
  <c r="BB94" i="3" l="1"/>
  <c r="BA94" i="3"/>
  <c r="AH95" i="3"/>
  <c r="AK95" i="3" l="1"/>
  <c r="AI95" i="3"/>
  <c r="AL95" i="3" l="1"/>
  <c r="AW95" i="3"/>
  <c r="AX95" i="3"/>
  <c r="AU95" i="3"/>
  <c r="AT96" i="3" l="1"/>
  <c r="AV95" i="3"/>
  <c r="AZ95" i="3"/>
  <c r="AY95" i="3"/>
  <c r="BF95" i="3"/>
  <c r="BG95" i="3" s="1"/>
  <c r="BC95" i="3"/>
  <c r="BD95" i="3" s="1"/>
  <c r="BB95" i="3" l="1"/>
  <c r="BA95" i="3"/>
  <c r="AH96" i="3"/>
  <c r="AK96" i="3" l="1"/>
  <c r="AI96" i="3"/>
  <c r="AX96" i="3" l="1"/>
  <c r="AW96" i="3"/>
  <c r="AL96" i="3"/>
  <c r="AU96" i="3"/>
  <c r="AT97" i="3" l="1"/>
  <c r="AV96" i="3"/>
  <c r="AY96" i="3"/>
  <c r="BC96" i="3"/>
  <c r="BD96" i="3" s="1"/>
  <c r="AZ96" i="3"/>
  <c r="BF96" i="3"/>
  <c r="BG96" i="3" s="1"/>
  <c r="BB96" i="3" l="1"/>
  <c r="BA96" i="3"/>
  <c r="AH97" i="3"/>
  <c r="AK97" i="3" l="1"/>
  <c r="AI97" i="3"/>
  <c r="AX97" i="3" l="1"/>
  <c r="AL97" i="3"/>
  <c r="AW97" i="3"/>
  <c r="AU97" i="3"/>
  <c r="AV97" i="3" l="1"/>
  <c r="AT98" i="3"/>
  <c r="AZ97" i="3"/>
  <c r="BC97" i="3"/>
  <c r="BD97" i="3" s="1"/>
  <c r="AY97" i="3"/>
  <c r="BF97" i="3"/>
  <c r="BG97" i="3" s="1"/>
  <c r="BB97" i="3" l="1"/>
  <c r="BA97" i="3"/>
  <c r="AH98" i="3"/>
  <c r="AI98" i="3" l="1"/>
  <c r="AK98" i="3"/>
  <c r="AL98" i="3" l="1"/>
  <c r="AX98" i="3"/>
  <c r="AW98" i="3"/>
  <c r="AU98" i="3"/>
  <c r="AT99" i="3" l="1"/>
  <c r="AV98" i="3"/>
  <c r="BF98" i="3"/>
  <c r="BG98" i="3" s="1"/>
  <c r="AY98" i="3"/>
  <c r="BC98" i="3"/>
  <c r="BD98" i="3" s="1"/>
  <c r="AZ98" i="3"/>
  <c r="BB98" i="3" l="1"/>
  <c r="BA98" i="3"/>
  <c r="AH99" i="3"/>
  <c r="AI99" i="3" l="1"/>
  <c r="AK99" i="3"/>
  <c r="AX99" i="3" l="1"/>
  <c r="AW99" i="3"/>
  <c r="AL99" i="3"/>
  <c r="AU99" i="3"/>
  <c r="AT100" i="3" l="1"/>
  <c r="AV99" i="3"/>
  <c r="AY99" i="3"/>
  <c r="BF99" i="3"/>
  <c r="BG99" i="3" s="1"/>
  <c r="BC99" i="3"/>
  <c r="BD99" i="3" s="1"/>
  <c r="AZ99" i="3"/>
  <c r="BB99" i="3" l="1"/>
  <c r="BA99" i="3"/>
  <c r="AH100" i="3"/>
  <c r="AI100" i="3" l="1"/>
  <c r="AK100" i="3"/>
  <c r="AL100" i="3" l="1"/>
  <c r="AW100" i="3"/>
  <c r="AX100" i="3"/>
  <c r="AU100" i="3"/>
  <c r="AV100" i="3" l="1"/>
  <c r="AT101" i="3"/>
  <c r="AY100" i="3"/>
  <c r="BF100" i="3"/>
  <c r="BG100" i="3" s="1"/>
  <c r="AZ100" i="3"/>
  <c r="BC100" i="3"/>
  <c r="BD100" i="3" s="1"/>
  <c r="BB100" i="3" l="1"/>
  <c r="BA100" i="3"/>
  <c r="AH101" i="3"/>
  <c r="AI101" i="3" l="1"/>
  <c r="AK101" i="3"/>
  <c r="AX101" i="3" l="1"/>
  <c r="AW101" i="3"/>
  <c r="AL101" i="3"/>
  <c r="AU101" i="3"/>
  <c r="AV101" i="3" l="1"/>
  <c r="AT102" i="3"/>
  <c r="BC101" i="3"/>
  <c r="BD101" i="3" s="1"/>
  <c r="AY101" i="3"/>
  <c r="AZ101" i="3"/>
  <c r="BF101" i="3"/>
  <c r="BG101" i="3" s="1"/>
  <c r="BB101" i="3" l="1"/>
  <c r="BA101" i="3"/>
  <c r="AH102" i="3"/>
  <c r="AK102" i="3" l="1"/>
  <c r="AI102" i="3"/>
  <c r="AX102" i="3" l="1"/>
  <c r="AW102" i="3"/>
  <c r="AL102" i="3"/>
  <c r="AU102" i="3"/>
  <c r="AT103" i="3" l="1"/>
  <c r="AV102" i="3"/>
  <c r="BC102" i="3"/>
  <c r="BD102" i="3" s="1"/>
  <c r="AY102" i="3"/>
  <c r="AZ102" i="3"/>
  <c r="BF102" i="3"/>
  <c r="BG102" i="3" s="1"/>
  <c r="BB102" i="3" l="1"/>
  <c r="BA102" i="3"/>
  <c r="AH103" i="3"/>
  <c r="AK103" i="3" l="1"/>
  <c r="AI103" i="3"/>
  <c r="AX103" i="3" l="1"/>
  <c r="AW103" i="3"/>
  <c r="AL103" i="3"/>
  <c r="AU103" i="3"/>
  <c r="AV103" i="3" l="1"/>
  <c r="AT104" i="3"/>
  <c r="BF103" i="3"/>
  <c r="BG103" i="3" s="1"/>
  <c r="BC103" i="3"/>
  <c r="BD103" i="3" s="1"/>
  <c r="AY103" i="3"/>
  <c r="AZ103" i="3"/>
  <c r="BB103" i="3" l="1"/>
  <c r="BA103" i="3"/>
  <c r="AH104" i="3"/>
  <c r="AK104" i="3" l="1"/>
  <c r="AI104" i="3"/>
  <c r="AX104" i="3" l="1"/>
  <c r="AL104" i="3"/>
  <c r="AW104" i="3"/>
  <c r="AU104" i="3"/>
  <c r="AV104" i="3" l="1"/>
  <c r="AT105" i="3"/>
  <c r="BC104" i="3"/>
  <c r="BD104" i="3" s="1"/>
  <c r="AZ104" i="3"/>
  <c r="AY104" i="3"/>
  <c r="BF104" i="3"/>
  <c r="BG104" i="3" s="1"/>
  <c r="BB104" i="3" l="1"/>
  <c r="BA104" i="3"/>
  <c r="AH105" i="3"/>
  <c r="AI105" i="3" l="1"/>
  <c r="AK105" i="3"/>
  <c r="AX105" i="3" l="1"/>
  <c r="AL105" i="3"/>
  <c r="AW105" i="3"/>
  <c r="AU105" i="3"/>
  <c r="AV105" i="3" l="1"/>
  <c r="AT106" i="3"/>
  <c r="BC105" i="3"/>
  <c r="BD105" i="3" s="1"/>
  <c r="AZ105" i="3"/>
  <c r="AY105" i="3"/>
  <c r="BF105" i="3"/>
  <c r="BG105" i="3" s="1"/>
  <c r="BB105" i="3" l="1"/>
  <c r="BA105" i="3"/>
  <c r="AH106" i="3"/>
  <c r="AI106" i="3" l="1"/>
  <c r="AK106" i="3"/>
  <c r="AX106" i="3" l="1"/>
  <c r="AW106" i="3"/>
  <c r="AL106" i="3"/>
  <c r="AU106" i="3"/>
  <c r="AV106" i="3" l="1"/>
  <c r="AT107" i="3"/>
  <c r="AZ106" i="3"/>
  <c r="BC106" i="3"/>
  <c r="BD106" i="3" s="1"/>
  <c r="AY106" i="3"/>
  <c r="BF106" i="3"/>
  <c r="BG106" i="3" s="1"/>
  <c r="BB106" i="3" l="1"/>
  <c r="BA106" i="3"/>
  <c r="AH107" i="3"/>
  <c r="AI107" i="3" l="1"/>
  <c r="AK107" i="3"/>
  <c r="AL107" i="3" l="1"/>
  <c r="AW107" i="3"/>
  <c r="AX107" i="3"/>
  <c r="AU107" i="3"/>
  <c r="AV107" i="3" l="1"/>
  <c r="AT108" i="3"/>
  <c r="BF107" i="3"/>
  <c r="BG107" i="3" s="1"/>
  <c r="AY107" i="3"/>
  <c r="BC107" i="3"/>
  <c r="BD107" i="3" s="1"/>
  <c r="AZ107" i="3"/>
  <c r="BB107" i="3" l="1"/>
  <c r="BA107" i="3"/>
  <c r="AH108" i="3"/>
  <c r="AI108" i="3" l="1"/>
  <c r="AK108" i="3"/>
  <c r="AX108" i="3" l="1"/>
  <c r="AL108" i="3"/>
  <c r="AW108" i="3"/>
  <c r="AU108" i="3"/>
  <c r="AT109" i="3" l="1"/>
  <c r="AV108" i="3"/>
  <c r="BF108" i="3"/>
  <c r="BG108" i="3" s="1"/>
  <c r="AY108" i="3"/>
  <c r="AZ108" i="3"/>
  <c r="BC108" i="3"/>
  <c r="BD108" i="3" s="1"/>
  <c r="BB108" i="3" l="1"/>
  <c r="BA108" i="3"/>
  <c r="AH109" i="3"/>
  <c r="AI109" i="3" l="1"/>
  <c r="AK109" i="3"/>
  <c r="AL109" i="3" l="1"/>
  <c r="AW109" i="3"/>
  <c r="AX109" i="3"/>
  <c r="AU109" i="3"/>
  <c r="AT110" i="3" l="1"/>
  <c r="AV109" i="3"/>
  <c r="AY109" i="3"/>
  <c r="BF109" i="3"/>
  <c r="BG109" i="3" s="1"/>
  <c r="BC109" i="3"/>
  <c r="BD109" i="3" s="1"/>
  <c r="AZ109" i="3"/>
  <c r="BB109" i="3" l="1"/>
  <c r="BA109" i="3"/>
  <c r="AH110" i="3"/>
  <c r="AK110" i="3" l="1"/>
  <c r="AI110" i="3"/>
  <c r="AX110" i="3" l="1"/>
  <c r="AW110" i="3"/>
  <c r="AL110" i="3"/>
  <c r="AU110" i="3"/>
  <c r="AT111" i="3" l="1"/>
  <c r="AV110" i="3"/>
  <c r="BF110" i="3"/>
  <c r="BG110" i="3" s="1"/>
  <c r="AY110" i="3"/>
  <c r="AZ110" i="3"/>
  <c r="BC110" i="3"/>
  <c r="BD110" i="3" s="1"/>
  <c r="BB110" i="3" l="1"/>
  <c r="BA110" i="3"/>
  <c r="AH111" i="3"/>
  <c r="AK111" i="3" l="1"/>
  <c r="AI111" i="3"/>
  <c r="AL111" i="3" l="1"/>
  <c r="AW111" i="3"/>
  <c r="AX111" i="3"/>
  <c r="AU111" i="3"/>
  <c r="AT112" i="3" l="1"/>
  <c r="AV111" i="3"/>
  <c r="BC111" i="3"/>
  <c r="BD111" i="3" s="1"/>
  <c r="AY111" i="3"/>
  <c r="AZ111" i="3"/>
  <c r="BF111" i="3"/>
  <c r="BG111" i="3" s="1"/>
  <c r="BB111" i="3" l="1"/>
  <c r="BA111" i="3"/>
  <c r="AH112" i="3"/>
  <c r="AI112" i="3" l="1"/>
  <c r="AK112" i="3"/>
  <c r="AX112" i="3" l="1"/>
  <c r="AL112" i="3"/>
  <c r="AW112" i="3"/>
  <c r="AU112" i="3"/>
  <c r="AT113" i="3" l="1"/>
  <c r="AV112" i="3"/>
  <c r="AZ112" i="3"/>
  <c r="AY112" i="3"/>
  <c r="BC112" i="3"/>
  <c r="BD112" i="3" s="1"/>
  <c r="BF112" i="3"/>
  <c r="BG112" i="3" s="1"/>
  <c r="BB112" i="3" l="1"/>
  <c r="BA112" i="3"/>
  <c r="AH113" i="3"/>
  <c r="AK113" i="3" l="1"/>
  <c r="AI113" i="3"/>
  <c r="AX113" i="3" l="1"/>
  <c r="AL113" i="3"/>
  <c r="AL116" i="3" s="1"/>
  <c r="AW113" i="3"/>
  <c r="AW116" i="3" s="1"/>
  <c r="O123" i="3" s="1"/>
  <c r="O124" i="3" s="1"/>
  <c r="AU113" i="3"/>
  <c r="AV113" i="3" s="1"/>
  <c r="T120" i="3" l="1"/>
  <c r="T121" i="3" s="1"/>
  <c r="T125" i="3"/>
  <c r="T126" i="3" s="1"/>
  <c r="AZ113" i="3"/>
  <c r="AY113" i="3"/>
  <c r="AY116" i="3" s="1"/>
  <c r="V121" i="3" s="1"/>
  <c r="V126" i="3" s="1"/>
  <c r="BC113" i="3"/>
  <c r="BD113" i="3" s="1"/>
  <c r="BD116" i="3" s="1"/>
  <c r="BF113" i="3"/>
  <c r="BG113" i="3" s="1"/>
  <c r="BG116" i="3" s="1"/>
  <c r="BB113" i="3" l="1"/>
  <c r="BB116" i="3" s="1"/>
  <c r="BA11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Niel</author>
  </authors>
  <commentList>
    <comment ref="G4" authorId="0" shapeId="0" xr:uid="{00000000-0006-0000-0000-000001000000}">
      <text>
        <r>
          <rPr>
            <b/>
            <sz val="9"/>
            <color indexed="81"/>
            <rFont val="Tahoma"/>
            <family val="2"/>
          </rPr>
          <t>Niel:</t>
        </r>
        <r>
          <rPr>
            <sz val="9"/>
            <color indexed="81"/>
            <rFont val="Tahoma"/>
            <family val="2"/>
          </rPr>
          <t xml:space="preserve">
Extension Apple Irrigation pdf</t>
        </r>
      </text>
    </comment>
    <comment ref="G30" authorId="0" shapeId="0" xr:uid="{00000000-0006-0000-0000-000002000000}">
      <text>
        <r>
          <rPr>
            <b/>
            <sz val="9"/>
            <color indexed="81"/>
            <rFont val="Tahoma"/>
            <family val="2"/>
          </rPr>
          <t>Niel:</t>
        </r>
        <r>
          <rPr>
            <sz val="9"/>
            <color indexed="81"/>
            <rFont val="Tahoma"/>
            <family val="2"/>
          </rPr>
          <t xml:space="preserve">
p. 39 Rich Crop School Irrigation powerpoint</t>
        </r>
      </text>
    </comment>
    <comment ref="G32" authorId="0" shapeId="0" xr:uid="{00000000-0006-0000-0000-000003000000}">
      <text>
        <r>
          <rPr>
            <b/>
            <sz val="9"/>
            <color indexed="81"/>
            <rFont val="Tahoma"/>
            <family val="2"/>
          </rPr>
          <t>Niel:</t>
        </r>
        <r>
          <rPr>
            <sz val="9"/>
            <color indexed="81"/>
            <rFont val="Tahoma"/>
            <family val="2"/>
          </rPr>
          <t xml:space="preserve">
p. 39 Rich Crop School Irrigation powerpoint</t>
        </r>
      </text>
    </comment>
    <comment ref="H41" authorId="0" shapeId="0" xr:uid="{00000000-0006-0000-0000-000004000000}">
      <text>
        <r>
          <rPr>
            <b/>
            <sz val="9"/>
            <color indexed="81"/>
            <rFont val="Tahoma"/>
            <family val="2"/>
          </rPr>
          <t>Niel:</t>
        </r>
        <r>
          <rPr>
            <sz val="9"/>
            <color indexed="81"/>
            <rFont val="Tahoma"/>
            <family val="2"/>
          </rPr>
          <t xml:space="preserve">
T6.4 Merkley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Niel</author>
  </authors>
  <commentList>
    <comment ref="Z9" authorId="0" shapeId="0" xr:uid="{00000000-0006-0000-0200-000001000000}">
      <text>
        <r>
          <rPr>
            <b/>
            <sz val="9"/>
            <color indexed="81"/>
            <rFont val="Tahoma"/>
            <family val="2"/>
          </rPr>
          <t>Niel:</t>
        </r>
        <r>
          <rPr>
            <sz val="9"/>
            <color indexed="81"/>
            <rFont val="Tahoma"/>
            <family val="2"/>
          </rPr>
          <t xml:space="preserve">
Table 25 FAO
</t>
        </r>
      </text>
    </comment>
    <comment ref="N71" authorId="0" shapeId="0" xr:uid="{00000000-0006-0000-0200-000002000000}">
      <text>
        <r>
          <rPr>
            <b/>
            <sz val="9"/>
            <color indexed="81"/>
            <rFont val="Tahoma"/>
            <family val="2"/>
          </rPr>
          <t>Niel:</t>
        </r>
        <r>
          <rPr>
            <sz val="9"/>
            <color indexed="81"/>
            <rFont val="Tahoma"/>
            <family val="2"/>
          </rPr>
          <t xml:space="preserve">
modified - no value exists in 'weather data'</t>
        </r>
      </text>
    </comment>
    <comment ref="A104" authorId="0" shapeId="0" xr:uid="{00000000-0006-0000-0200-000003000000}">
      <text>
        <r>
          <rPr>
            <b/>
            <sz val="9"/>
            <color indexed="81"/>
            <rFont val="Tahoma"/>
            <family val="2"/>
          </rPr>
          <t>Niel:</t>
        </r>
        <r>
          <rPr>
            <sz val="9"/>
            <color indexed="81"/>
            <rFont val="Tahoma"/>
            <family val="2"/>
          </rPr>
          <t xml:space="preserve">
from email - see OneNote</t>
        </r>
      </text>
    </comment>
  </commentList>
</comments>
</file>

<file path=xl/sharedStrings.xml><?xml version="1.0" encoding="utf-8"?>
<sst xmlns="http://schemas.openxmlformats.org/spreadsheetml/2006/main" count="530" uniqueCount="380">
  <si>
    <t>inches</t>
  </si>
  <si>
    <t>Date</t>
  </si>
  <si>
    <t>Area (ft^2) =</t>
  </si>
  <si>
    <t>This data is provided by the Utah Climate Center.  Please cite the Climate Center when using this data.</t>
  </si>
  <si>
    <t>Date/Time in days</t>
  </si>
  <si>
    <t>Precip Total in in.</t>
  </si>
  <si>
    <t>ETo in in.</t>
  </si>
  <si>
    <t>ETr in in.</t>
  </si>
  <si>
    <t>2015-05-01 23:59:59</t>
  </si>
  <si>
    <t>2015-05-02 23:59:59</t>
  </si>
  <si>
    <t>2015-05-03 23:59:59</t>
  </si>
  <si>
    <t>2015-05-04 23:59:59</t>
  </si>
  <si>
    <t>2015-05-05 23:59:59</t>
  </si>
  <si>
    <t>2015-05-06 23:59:59</t>
  </si>
  <si>
    <t>2015-05-07 23:59:59</t>
  </si>
  <si>
    <t>2015-05-08 23:59:59</t>
  </si>
  <si>
    <t>2015-05-09 23:59:59</t>
  </si>
  <si>
    <t>2015-05-10 23:59:59</t>
  </si>
  <si>
    <t>2015-05-11 23:59:59</t>
  </si>
  <si>
    <t>2015-05-12 23:59:59</t>
  </si>
  <si>
    <t>2015-05-13 23:59:59</t>
  </si>
  <si>
    <t>2015-05-14 23:59:59</t>
  </si>
  <si>
    <t>2015-05-15 23:59:59</t>
  </si>
  <si>
    <t>2015-05-16 23:59:59</t>
  </si>
  <si>
    <t>2015-05-17 23:59:59</t>
  </si>
  <si>
    <t>2015-05-18 23:59:59</t>
  </si>
  <si>
    <t>2015-05-19 23:59:59</t>
  </si>
  <si>
    <t>2015-05-20 23:59:59</t>
  </si>
  <si>
    <t>2015-05-21 23:59:59</t>
  </si>
  <si>
    <t>2015-05-22 23:59:59</t>
  </si>
  <si>
    <t>2015-05-23 23:59:59</t>
  </si>
  <si>
    <t>2015-05-24 23:59:59</t>
  </si>
  <si>
    <t>2015-05-25 23:59:59</t>
  </si>
  <si>
    <t>2015-05-26 23:59:59</t>
  </si>
  <si>
    <t>2015-05-27 23:59:59</t>
  </si>
  <si>
    <t>2015-05-28 23:59:59</t>
  </si>
  <si>
    <t>2015-05-29 23:59:59</t>
  </si>
  <si>
    <t>2015-05-30 23:59:59</t>
  </si>
  <si>
    <t>2015-05-31 23:59:59</t>
  </si>
  <si>
    <t>2015-06-01 23:59:59</t>
  </si>
  <si>
    <t>2015-06-02 23:59:59</t>
  </si>
  <si>
    <t>2015-06-03 23:59:59</t>
  </si>
  <si>
    <t>2015-06-04 23:59:59</t>
  </si>
  <si>
    <t>2015-06-05 23:59:59</t>
  </si>
  <si>
    <t>2015-06-06 23:59:59</t>
  </si>
  <si>
    <t>2015-06-07 23:59:59</t>
  </si>
  <si>
    <t>2015-06-08 23:59:59</t>
  </si>
  <si>
    <t>2015-06-09 23:59:59</t>
  </si>
  <si>
    <t>2015-06-10 23:59:59</t>
  </si>
  <si>
    <t>2015-06-11 23:59:59</t>
  </si>
  <si>
    <t>2015-06-12 23:59:59</t>
  </si>
  <si>
    <t>2015-06-13 23:59:59</t>
  </si>
  <si>
    <t>2015-06-14 23:59:59</t>
  </si>
  <si>
    <t>2015-06-15 23:59:59</t>
  </si>
  <si>
    <t>2015-06-16 23:59:59</t>
  </si>
  <si>
    <t>2015-06-17 23:59:59</t>
  </si>
  <si>
    <t>2015-06-18 23:59:59</t>
  </si>
  <si>
    <t>2015-06-19 23:59:59</t>
  </si>
  <si>
    <t>2015-06-20 23:59:59</t>
  </si>
  <si>
    <t>2015-06-21 23:59:59</t>
  </si>
  <si>
    <t>2015-06-22 23:59:59</t>
  </si>
  <si>
    <t>2015-06-23 23:59:59</t>
  </si>
  <si>
    <t>2015-06-24 23:59:59</t>
  </si>
  <si>
    <t>2015-06-25 23:59:59</t>
  </si>
  <si>
    <t>2015-06-26 23:59:59</t>
  </si>
  <si>
    <t>2015-06-27 23:59:59</t>
  </si>
  <si>
    <t>2015-06-28 23:59:59</t>
  </si>
  <si>
    <t>2015-06-29 23:59:59</t>
  </si>
  <si>
    <t>2015-06-30 23:59:59</t>
  </si>
  <si>
    <t>2015-07-01 23:59:59</t>
  </si>
  <si>
    <t>2015-07-02 23:59:59</t>
  </si>
  <si>
    <t>2015-07-03 23:59:59</t>
  </si>
  <si>
    <t>2015-07-04 23:59:59</t>
  </si>
  <si>
    <t>2015-07-05 23:59:59</t>
  </si>
  <si>
    <t>2015-07-06 23:59:59</t>
  </si>
  <si>
    <t>2015-07-07 23:59:59</t>
  </si>
  <si>
    <t>2015-07-08 23:59:59</t>
  </si>
  <si>
    <t>2015-07-09 23:59:59</t>
  </si>
  <si>
    <t>2015-07-10 23:59:59</t>
  </si>
  <si>
    <t>2015-07-11 23:59:59</t>
  </si>
  <si>
    <t>2015-07-12 23:59:59</t>
  </si>
  <si>
    <t>2015-07-13 23:59:59</t>
  </si>
  <si>
    <t>2015-07-14 23:59:59</t>
  </si>
  <si>
    <t>2015-07-15 23:59:59</t>
  </si>
  <si>
    <t>2015-07-16 23:59:59</t>
  </si>
  <si>
    <t>2015-07-17 23:59:59</t>
  </si>
  <si>
    <t>2015-07-18 23:59:59</t>
  </si>
  <si>
    <t>2015-07-19 23:59:59</t>
  </si>
  <si>
    <t>2015-07-20 23:59:59</t>
  </si>
  <si>
    <t>2015-07-21 23:59:59</t>
  </si>
  <si>
    <t>2015-07-22 23:59:59</t>
  </si>
  <si>
    <t>2015-07-23 23:59:59</t>
  </si>
  <si>
    <t>2015-07-24 23:59:59</t>
  </si>
  <si>
    <t>2015-07-25 23:59:59</t>
  </si>
  <si>
    <t>2015-07-26 23:59:59</t>
  </si>
  <si>
    <t>2015-07-27 23:59:59</t>
  </si>
  <si>
    <t>2015-07-28 23:59:59</t>
  </si>
  <si>
    <t>2015-07-29 23:59:59</t>
  </si>
  <si>
    <t>2015-07-30 23:59:59</t>
  </si>
  <si>
    <t>2015-08-01 23:59:59</t>
  </si>
  <si>
    <t>2015-08-02 23:59:59</t>
  </si>
  <si>
    <t>2015-08-03 23:59:59</t>
  </si>
  <si>
    <t>2015-08-04 23:59:59</t>
  </si>
  <si>
    <t>2015-08-05 23:59:59</t>
  </si>
  <si>
    <t>2015-08-06 23:59:59</t>
  </si>
  <si>
    <t>2015-08-07 23:59:59</t>
  </si>
  <si>
    <t>2015-08-08 23:59:59</t>
  </si>
  <si>
    <t>2015-08-09 23:59:59</t>
  </si>
  <si>
    <t>2015-08-10 23:59:59</t>
  </si>
  <si>
    <t>2015-08-11 23:59:59</t>
  </si>
  <si>
    <t>2015-08-12 23:59:59</t>
  </si>
  <si>
    <t>2015-08-13 23:59:59</t>
  </si>
  <si>
    <t>2015-08-14 23:59:59</t>
  </si>
  <si>
    <t>2015-08-15 23:59:59</t>
  </si>
  <si>
    <t>2015-08-16 23:59:59</t>
  </si>
  <si>
    <t>2015-08-17 23:59:59</t>
  </si>
  <si>
    <t>2015-08-18 23:59:59</t>
  </si>
  <si>
    <t>2015-08-19 23:59:59</t>
  </si>
  <si>
    <t>2015-08-20 23:59:59</t>
  </si>
  <si>
    <t>2015-08-21 23:59:59</t>
  </si>
  <si>
    <t>2015-08-22 23:59:59</t>
  </si>
  <si>
    <t>2015-08-23 23:59:59</t>
  </si>
  <si>
    <t>2015-08-24 23:59:59</t>
  </si>
  <si>
    <t>2015-08-25 23:59:59</t>
  </si>
  <si>
    <t>2015-08-26 23:59:59</t>
  </si>
  <si>
    <t>2015-08-27 23:59:59</t>
  </si>
  <si>
    <t>2015-08-28 23:59:59</t>
  </si>
  <si>
    <t>2015-08-29 23:59:59</t>
  </si>
  <si>
    <t>2015-08-30 23:59:59</t>
  </si>
  <si>
    <t>2015-08-31 23:59:59</t>
  </si>
  <si>
    <t>2015-09-01 23:59:59</t>
  </si>
  <si>
    <t>2015-09-02 23:59:59</t>
  </si>
  <si>
    <t>2015-09-03 23:59:59</t>
  </si>
  <si>
    <t>2015-09-04 23:59:59</t>
  </si>
  <si>
    <t>2015-09-05 23:59:59</t>
  </si>
  <si>
    <t>2015-09-06 23:59:59</t>
  </si>
  <si>
    <t>2015-09-07 23:59:59</t>
  </si>
  <si>
    <t>2015-09-08 23:59:59</t>
  </si>
  <si>
    <t>2015-09-09 23:59:59</t>
  </si>
  <si>
    <t>2015-09-10 23:59:59</t>
  </si>
  <si>
    <t>2015-09-11 23:59:59</t>
  </si>
  <si>
    <t>2015-09-12 23:59:59</t>
  </si>
  <si>
    <t>2015-09-13 23:59:59</t>
  </si>
  <si>
    <t>2015-09-14 23:59:59</t>
  </si>
  <si>
    <t>2015-09-15 23:59:59</t>
  </si>
  <si>
    <t>2015-09-16 23:59:59</t>
  </si>
  <si>
    <t>2015-09-17 23:59:59</t>
  </si>
  <si>
    <t>2015-09-18 23:59:59</t>
  </si>
  <si>
    <t>2015-09-19 23:59:59</t>
  </si>
  <si>
    <t>2015-09-20 23:59:59</t>
  </si>
  <si>
    <t>2015-09-21 23:59:59</t>
  </si>
  <si>
    <t>2015-09-22 23:59:59</t>
  </si>
  <si>
    <t>2015-09-23 23:59:59</t>
  </si>
  <si>
    <t>2015-09-24 23:59:59</t>
  </si>
  <si>
    <t>2015-09-25 23:59:59</t>
  </si>
  <si>
    <t>2015-09-26 23:59:59</t>
  </si>
  <si>
    <t>2015-09-27 23:59:59</t>
  </si>
  <si>
    <t>2015-09-28 23:59:59</t>
  </si>
  <si>
    <t>2015-09-29 23:59:59</t>
  </si>
  <si>
    <t>2015-09-30 23:59:59</t>
  </si>
  <si>
    <t>Adjusted Daily Meter Data</t>
  </si>
  <si>
    <t>Precipitation</t>
  </si>
  <si>
    <t>Total Af</t>
  </si>
  <si>
    <t>Total inches</t>
  </si>
  <si>
    <t>Cum ft3</t>
  </si>
  <si>
    <t>Date in days</t>
  </si>
  <si>
    <t>Effective Precip (in)</t>
  </si>
  <si>
    <t>Precip (in)</t>
  </si>
  <si>
    <t>Harvest Schedule</t>
  </si>
  <si>
    <t>Alfalfa</t>
  </si>
  <si>
    <t>Total Precip (in)</t>
  </si>
  <si>
    <t>ETr (in)</t>
  </si>
  <si>
    <t>Total ET (in)</t>
  </si>
  <si>
    <t xml:space="preserve">Soil AW (in/ft) = </t>
  </si>
  <si>
    <t>Starting RZ depth (ft) =</t>
  </si>
  <si>
    <t>Starting RZ AW (in) =</t>
  </si>
  <si>
    <t>Ending RZ depth (ft) =</t>
  </si>
  <si>
    <t>ft3</t>
  </si>
  <si>
    <t>ETa/ETm</t>
  </si>
  <si>
    <t>Deep Perc (in)</t>
  </si>
  <si>
    <t>Total Deep Perc (in)</t>
  </si>
  <si>
    <t>Deep Perc from Irr (in)</t>
  </si>
  <si>
    <t>Total Deep Perc from Irr (in)</t>
  </si>
  <si>
    <t>Deep Perc from Precip (in)</t>
  </si>
  <si>
    <t>Total Deep Perc from Precip (in)</t>
  </si>
  <si>
    <t>Total Irr +  Precip (in)</t>
  </si>
  <si>
    <t xml:space="preserve"> "Effective" Irr + Precip (i.e. - DP)</t>
  </si>
  <si>
    <t>Total "Effective" Irr + Precip (i.e. - DP)</t>
  </si>
  <si>
    <t>Soil Moisture and Deep Percolation</t>
  </si>
  <si>
    <t>Metrics</t>
  </si>
  <si>
    <t>Yield Reduction</t>
  </si>
  <si>
    <t>eqn 2.4 p.18 Merkley</t>
  </si>
  <si>
    <t xml:space="preserve">Ky ave = </t>
  </si>
  <si>
    <t>Ky =</t>
  </si>
  <si>
    <t>ETa/ETm =</t>
  </si>
  <si>
    <t xml:space="preserve">Ya/Ym = </t>
  </si>
  <si>
    <t>Change in Soil Moisture</t>
  </si>
  <si>
    <t>Final AW (in) =</t>
  </si>
  <si>
    <r>
      <rPr>
        <b/>
        <sz val="11"/>
        <color theme="1"/>
        <rFont val="Calibri"/>
        <family val="2"/>
      </rPr>
      <t>∆</t>
    </r>
    <r>
      <rPr>
        <b/>
        <sz val="11"/>
        <color theme="1"/>
        <rFont val="Calibri"/>
        <family val="2"/>
        <scheme val="minor"/>
      </rPr>
      <t>SM (in) =</t>
    </r>
  </si>
  <si>
    <t>Water Balance</t>
  </si>
  <si>
    <t>∆SM = P + I - ET - DP</t>
  </si>
  <si>
    <t>SUMIF($B$10:$B$590,N10,$G$10:$G$590)</t>
  </si>
  <si>
    <t>Total Available Water TAW (in)</t>
  </si>
  <si>
    <t>Readily Available Water (in)</t>
  </si>
  <si>
    <t>Potential ET (in)</t>
  </si>
  <si>
    <t>Ks = f(Dr)</t>
  </si>
  <si>
    <t>Root Zone Depletion Dr_start (in)</t>
  </si>
  <si>
    <t>Root Zone Depletion Dr_end (in)</t>
  </si>
  <si>
    <t>Available Water (in)</t>
  </si>
  <si>
    <t>ET actual (in)</t>
  </si>
  <si>
    <t>TAW-RAW (in)</t>
  </si>
  <si>
    <t>change "weather data" worksheet values with proper values</t>
  </si>
  <si>
    <t>insert proper metered data into leftmost columns</t>
  </si>
  <si>
    <t>save as Name_Plots.xls</t>
  </si>
  <si>
    <t>Link first blue column with proper "ft3 per irrigation" value</t>
  </si>
  <si>
    <t>delete days in excess of growing season</t>
  </si>
  <si>
    <t>Adjust Harvest Schedule</t>
  </si>
  <si>
    <t>insert proper soil characteristics in top left</t>
  </si>
  <si>
    <t>Corrected ft3 for  irrigation schedule</t>
  </si>
  <si>
    <t xml:space="preserve"> schedule</t>
  </si>
  <si>
    <t>change name in top left</t>
  </si>
  <si>
    <t>http://peltiertech.com/make-a-copied-chart-link-to-new-data/</t>
  </si>
  <si>
    <t>dealing with copying charts</t>
  </si>
  <si>
    <t>Name</t>
  </si>
  <si>
    <t>Crop Type</t>
  </si>
  <si>
    <t>Rooting Depth (m) T. 7.2 Merkley</t>
  </si>
  <si>
    <t>Chosen Rooting Depth (m)</t>
  </si>
  <si>
    <t xml:space="preserve">Average Rooting Depth (ft) </t>
  </si>
  <si>
    <t xml:space="preserve">Average Rooting Depth (in) </t>
  </si>
  <si>
    <t>Soil Type (Web Soil Survey)</t>
  </si>
  <si>
    <t>Percentage of soil type</t>
  </si>
  <si>
    <t>Weighted Ave AWC (cm/cm)</t>
  </si>
  <si>
    <t>Weighted Ave AWC (cm/cm) WSS</t>
  </si>
  <si>
    <t>Weighted Ave AWC (in/ft) WSS</t>
  </si>
  <si>
    <t>Available Water Depletion (%) T. 7.2 Merkley</t>
  </si>
  <si>
    <t>Description from WSS</t>
  </si>
  <si>
    <t>1.2-1.8</t>
  </si>
  <si>
    <t>Provo Loam</t>
  </si>
  <si>
    <t>30-50</t>
  </si>
  <si>
    <t>Available water capacity (AWC) refers to the quantity of water that the soil is capable of storing for use by plants. The capacity for water storage is given in centimeters of water per centimeter of soil for each soil layer. The capacity varies, depending on soil properties that affect retention of water. The most important properties are the content of organic matter, soil texture, bulk density, and soil structure, with corrections for salinity and rock fragments. Available water capacity is an important factor in the choice of plants or crops to be grown and in the design and management of irrigation systems. It is not an estimate of the quantity of water actually available to plants at any given time.</t>
  </si>
  <si>
    <t>Apple</t>
  </si>
  <si>
    <t>McMurdie Silt Loam</t>
  </si>
  <si>
    <t>Vegetable crops</t>
  </si>
  <si>
    <t>0.6-1.2</t>
  </si>
  <si>
    <t>Ricks Gravelly Loam</t>
  </si>
  <si>
    <t>25-50</t>
  </si>
  <si>
    <t>Greenson Loam</t>
  </si>
  <si>
    <t>Steed Gravelly Loam</t>
  </si>
  <si>
    <t>Provo Gravelly Loam</t>
  </si>
  <si>
    <t>Cardon Silty Clay</t>
  </si>
  <si>
    <t>Pasture</t>
  </si>
  <si>
    <t>0.75-1.2 (0.9-1.2)</t>
  </si>
  <si>
    <t>Millville Silt Loam</t>
  </si>
  <si>
    <t>40-60 (50-70)</t>
  </si>
  <si>
    <t>0.75-1.2 (0.6-1.2)</t>
  </si>
  <si>
    <t>40-60 (25-50)</t>
  </si>
  <si>
    <t>Timpanogos Silt Loam</t>
  </si>
  <si>
    <t>Parleys Silt Loam</t>
  </si>
  <si>
    <t>Kidman Fine Sandy Loam</t>
  </si>
  <si>
    <t>Quinney Silt Loam</t>
  </si>
  <si>
    <t>Hendricks Silt Loam</t>
  </si>
  <si>
    <t>Depletion fraction (fao56)</t>
  </si>
  <si>
    <t>Fao56 p.165 Max Rooting Depth (m)</t>
  </si>
  <si>
    <t>1-2</t>
  </si>
  <si>
    <t>Web Soil Survey</t>
  </si>
  <si>
    <t>Rooting Characteristics</t>
  </si>
  <si>
    <t>~0.5</t>
  </si>
  <si>
    <t>Depletion fraction (%) =</t>
  </si>
  <si>
    <t>Area (acres) =</t>
  </si>
  <si>
    <t>Adjust axis on graphs</t>
  </si>
  <si>
    <t>Check that water balance values match</t>
  </si>
  <si>
    <t>insert proper area</t>
  </si>
  <si>
    <t>Give proper crop coefficients (grass or alfalfa)</t>
  </si>
  <si>
    <t>Kc*Ks</t>
  </si>
  <si>
    <t>check max and min date on graphs</t>
  </si>
  <si>
    <t>Check that cumulative depths match</t>
  </si>
  <si>
    <t>check sum of new volume column</t>
  </si>
  <si>
    <t>match?</t>
  </si>
  <si>
    <t>Kcm T.G3</t>
  </si>
  <si>
    <t>% days</t>
  </si>
  <si>
    <t>0.5-1.5</t>
  </si>
  <si>
    <t>Count days</t>
  </si>
  <si>
    <t>x</t>
  </si>
  <si>
    <t>update % days with proper count</t>
  </si>
  <si>
    <t>check Kc values match</t>
  </si>
  <si>
    <t>Pasture Kc</t>
  </si>
  <si>
    <t>Adjust ETr vs ETo (Utah Consumptive Use doc generally uses ETr</t>
  </si>
  <si>
    <t xml:space="preserve">Apple </t>
  </si>
  <si>
    <t>Corn</t>
  </si>
  <si>
    <t>Wheat</t>
  </si>
  <si>
    <t>1.0-1.7</t>
  </si>
  <si>
    <t>1.0-1.5</t>
  </si>
  <si>
    <t>Weighted Ave Depletion %</t>
  </si>
  <si>
    <t>CropType Area</t>
  </si>
  <si>
    <t>Turfgrass</t>
  </si>
  <si>
    <t>Turfgrass (North)</t>
  </si>
  <si>
    <t>Kcm T.G2</t>
  </si>
  <si>
    <t>utah consumptive use</t>
  </si>
  <si>
    <t>0.5-1.0</t>
  </si>
  <si>
    <t xml:space="preserve"> </t>
  </si>
  <si>
    <t>Weighted Ave Rooting depth (ft)</t>
  </si>
  <si>
    <t>Kcinitial</t>
  </si>
  <si>
    <t>Kcmid</t>
  </si>
  <si>
    <t>Kcend</t>
  </si>
  <si>
    <t xml:space="preserve">fao56 (Utah consumptive doc only has field corn. </t>
  </si>
  <si>
    <t>Apples</t>
  </si>
  <si>
    <t>Kc values embedded in spreadsheet</t>
  </si>
  <si>
    <t>Quinoa (use wheat characteristics)</t>
  </si>
  <si>
    <t>British Columbia</t>
  </si>
  <si>
    <t>Sweet Peppers</t>
  </si>
  <si>
    <t>Tomatoes</t>
  </si>
  <si>
    <t>Watermelon</t>
  </si>
  <si>
    <t>Squash</t>
  </si>
  <si>
    <r>
      <t>Kc_</t>
    </r>
    <r>
      <rPr>
        <sz val="11"/>
        <color rgb="FFFF0000"/>
        <rFont val="Calibri"/>
        <family val="2"/>
        <scheme val="minor"/>
      </rPr>
      <t>(grass)</t>
    </r>
  </si>
  <si>
    <t>Garden Vegetables</t>
  </si>
  <si>
    <t>Depletion %</t>
  </si>
  <si>
    <t>step 1 -</t>
  </si>
  <si>
    <t>delete unnecessary rows</t>
  </si>
  <si>
    <t>step 2 -</t>
  </si>
  <si>
    <t>add column for "Date in days"</t>
  </si>
  <si>
    <t>step 3 -</t>
  </si>
  <si>
    <t>convert "Precip, Eto, and Etr" cells to number</t>
  </si>
  <si>
    <t>Change Count days</t>
  </si>
  <si>
    <t>Kcmin</t>
  </si>
  <si>
    <t>IF((K81-$K$60)*($K$62-$K$61)/($K$59-$K$60)+$K$61&lt;2,(K81-$K$60)*($K$62-$K$61)/($K$59-$K$60)+$K$61,2)</t>
  </si>
  <si>
    <t>RZ multipliler</t>
  </si>
  <si>
    <t>RZ depth (in)</t>
  </si>
  <si>
    <t>RZ correctio n factor</t>
  </si>
  <si>
    <t>RZ min (ft) =</t>
  </si>
  <si>
    <t xml:space="preserve">RZ max (ft) = </t>
  </si>
  <si>
    <t>RZ depth (ft)</t>
  </si>
  <si>
    <t>correct for starting root depth</t>
  </si>
  <si>
    <t>change Ky yield response factor</t>
  </si>
  <si>
    <t>For changing RZ</t>
  </si>
  <si>
    <t>TAW_end (in) =</t>
  </si>
  <si>
    <t>AW_end (in) =</t>
  </si>
  <si>
    <t xml:space="preserve">Adjust root zone depletion </t>
  </si>
  <si>
    <t>make sure rooting depth does not continually grow</t>
  </si>
  <si>
    <t>Ky</t>
  </si>
  <si>
    <t>average</t>
  </si>
  <si>
    <t xml:space="preserve">sum = </t>
  </si>
  <si>
    <t>Crop Type 1=</t>
  </si>
  <si>
    <t>Crop Type 2=</t>
  </si>
  <si>
    <t>weighted average</t>
  </si>
  <si>
    <t>Kc</t>
  </si>
  <si>
    <t>Weighted Ave Kc</t>
  </si>
  <si>
    <t>?</t>
  </si>
  <si>
    <t>Volume Applied (ft3)</t>
  </si>
  <si>
    <t>Garden Average</t>
  </si>
  <si>
    <t xml:space="preserve">Kc min = </t>
  </si>
  <si>
    <t xml:space="preserve">Kc max = </t>
  </si>
  <si>
    <t>Mixed</t>
  </si>
  <si>
    <t xml:space="preserve">Kcm </t>
  </si>
  <si>
    <t>T.G2 or Utah Consump Use</t>
  </si>
  <si>
    <t>% Peppers</t>
  </si>
  <si>
    <t>% Tomatoes</t>
  </si>
  <si>
    <t>% Melons</t>
  </si>
  <si>
    <t>% Pumpkin</t>
  </si>
  <si>
    <t>Volume Applied (gal)</t>
  </si>
  <si>
    <t>Adjust Kc values</t>
  </si>
  <si>
    <t>Drainage Farm</t>
  </si>
  <si>
    <t>2015/05/01 - 2015/10/01</t>
  </si>
  <si>
    <t>Kc Peppers</t>
  </si>
  <si>
    <t>Tomato</t>
  </si>
  <si>
    <t>Sweet Pepper</t>
  </si>
  <si>
    <t>WinterSquash</t>
  </si>
  <si>
    <t>ET0</t>
  </si>
  <si>
    <t>ETo (in)</t>
  </si>
  <si>
    <t>ET_crop</t>
  </si>
  <si>
    <t>Peppers</t>
  </si>
  <si>
    <t>melons</t>
  </si>
  <si>
    <t>pumpkin</t>
  </si>
  <si>
    <t>Tomatoe with plastic</t>
  </si>
  <si>
    <t>Sweet Pepper with plastic</t>
  </si>
  <si>
    <t>Watermelon with plastic</t>
  </si>
  <si>
    <t>WinterSquash with plastic</t>
  </si>
  <si>
    <t>Deep Perc from Irr (mm)</t>
  </si>
  <si>
    <t>Total Available Water TAW (mm)</t>
  </si>
  <si>
    <t>mm</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</si>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</sst>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m/d/yy;@"/>
    <numFmt numFmtId="166" formatCode="0.000"/>
    <numFmt numFmtId="167" formatCode="0.0"/>
  </numFmts>
  <fonts count="17" x14ac:knownFonts="1">
    <font>
      <sz val="11"/>
      <color theme="1"/>
      <name val="Calibri"/>
      <family val="2"/>
      <scheme val="minor"/>
    </font>
    <font>
      <sz val="11"/>
      <color theme="1"/>
      <name val="Calibri"/>
      <family val="2"/>
      <scheme val="minor"/>
    </font>
    <font>
      <sz val="11"/>
      <color rgb="FF006100"/>
      <name val="Calibri"/>
      <family val="2"/>
      <scheme val="minor"/>
    </font>
    <font>
      <b/>
      <sz val="9"/>
      <color indexed="81"/>
      <name val="Tahoma"/>
      <family val="2"/>
    </font>
    <font>
      <sz val="9"/>
      <color indexed="81"/>
      <name val="Tahoma"/>
      <family val="2"/>
    </font>
    <font>
      <b/>
      <sz val="11"/>
      <color theme="1"/>
      <name val="Calibri"/>
      <family val="2"/>
      <scheme val="minor"/>
    </font>
    <font>
      <sz val="11"/>
      <color rgb="FF9C6500"/>
      <name val="Calibri"/>
      <family val="2"/>
      <scheme val="minor"/>
    </font>
    <font>
      <b/>
      <sz val="10"/>
      <color indexed="8"/>
      <name val="Arial"/>
      <family val="2"/>
    </font>
    <font>
      <b/>
      <sz val="8"/>
      <color indexed="8"/>
      <name val="Arial"/>
      <family val="2"/>
    </font>
    <font>
      <sz val="10"/>
      <color indexed="8"/>
      <name val="Arial"/>
      <family val="2"/>
    </font>
    <font>
      <sz val="11"/>
      <name val="Calibri"/>
      <family val="2"/>
      <scheme val="minor"/>
    </font>
    <font>
      <b/>
      <sz val="14"/>
      <color theme="1"/>
      <name val="Calibri"/>
      <family val="2"/>
      <scheme val="minor"/>
    </font>
    <font>
      <b/>
      <u/>
      <sz val="11"/>
      <color theme="1"/>
      <name val="Calibri"/>
      <family val="2"/>
      <scheme val="minor"/>
    </font>
    <font>
      <b/>
      <sz val="11"/>
      <color theme="1"/>
      <name val="Calibri"/>
      <family val="2"/>
    </font>
    <font>
      <sz val="10"/>
      <color rgb="FF000000"/>
      <name val="Verdana"/>
      <family val="2"/>
    </font>
    <font>
      <sz val="11"/>
      <color rgb="FF9C0006"/>
      <name val="Calibri"/>
      <family val="2"/>
      <scheme val="minor"/>
    </font>
    <font>
      <sz val="11"/>
      <color rgb="FFFF0000"/>
      <name val="Calibri"/>
      <family val="2"/>
      <scheme val="minor"/>
    </font>
  </fonts>
  <fills count="15">
    <fill>
      <patternFill patternType="none"/>
    </fill>
    <fill>
      <patternFill patternType="gray125"/>
    </fill>
    <fill>
      <patternFill patternType="solid">
        <fgColor rgb="FFC6EFCE"/>
      </patternFill>
    </fill>
    <fill>
      <patternFill patternType="solid">
        <fgColor rgb="FFFFCC99"/>
      </patternFill>
    </fill>
    <fill>
      <patternFill patternType="solid">
        <fgColor rgb="FFFFFFCC"/>
      </patternFill>
    </fill>
    <fill>
      <patternFill patternType="solid">
        <fgColor rgb="FFFFEB9C"/>
      </patternFill>
    </fill>
    <fill>
      <patternFill patternType="solid">
        <fgColor theme="7" tint="0.39997558519241921"/>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7" tint="0.59999389629810485"/>
        <bgColor indexed="65"/>
      </patternFill>
    </fill>
    <fill>
      <patternFill patternType="solid">
        <fgColor theme="4" tint="0.59999389629810485"/>
        <bgColor indexed="65"/>
      </patternFill>
    </fill>
    <fill>
      <patternFill patternType="solid">
        <fgColor theme="6"/>
      </patternFill>
    </fill>
    <fill>
      <patternFill patternType="solid">
        <fgColor theme="6" tint="0.39997558519241921"/>
        <bgColor indexed="65"/>
      </patternFill>
    </fill>
    <fill>
      <patternFill patternType="solid">
        <fgColor rgb="FFFFC7CE"/>
      </patternFill>
    </fill>
    <fill>
      <patternFill patternType="solid">
        <fgColor theme="5" tint="0.59999389629810485"/>
        <bgColor indexed="65"/>
      </patternFill>
    </fill>
  </fills>
  <borders count="32">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style="thin">
        <color rgb="FF7F7F7F"/>
      </top>
      <bottom style="medium">
        <color indexed="64"/>
      </bottom>
      <diagonal/>
    </border>
    <border>
      <left style="thin">
        <color rgb="FF7F7F7F"/>
      </left>
      <right style="thin">
        <color rgb="FF7F7F7F"/>
      </right>
      <top/>
      <bottom style="medium">
        <color indexed="64"/>
      </bottom>
      <diagonal/>
    </border>
    <border>
      <left style="thin">
        <color rgb="FF7F7F7F"/>
      </left>
      <right style="thin">
        <color rgb="FF7F7F7F"/>
      </right>
      <top style="thin">
        <color rgb="FF7F7F7F"/>
      </top>
      <bottom/>
      <diagonal/>
    </border>
    <border>
      <left/>
      <right/>
      <top style="medium">
        <color indexed="64"/>
      </top>
      <bottom/>
      <diagonal/>
    </border>
    <border>
      <left style="thin">
        <color indexed="64"/>
      </left>
      <right style="thin">
        <color indexed="64"/>
      </right>
      <top style="thin">
        <color indexed="64"/>
      </top>
      <bottom/>
      <diagonal/>
    </border>
    <border>
      <left/>
      <right style="thin">
        <color rgb="FF7F7F7F"/>
      </right>
      <top style="thin">
        <color rgb="FF7F7F7F"/>
      </top>
      <bottom/>
      <diagonal/>
    </border>
    <border>
      <left style="thin">
        <color indexed="64"/>
      </left>
      <right/>
      <top/>
      <bottom/>
      <diagonal/>
    </border>
    <border>
      <left/>
      <right style="thin">
        <color indexed="64"/>
      </right>
      <top/>
      <bottom/>
      <diagonal/>
    </border>
    <border>
      <left style="thin">
        <color rgb="FF7F7F7F"/>
      </left>
      <right style="thin">
        <color rgb="FF7F7F7F"/>
      </right>
      <top/>
      <bottom/>
      <diagonal/>
    </border>
  </borders>
  <cellStyleXfs count="14">
    <xf numFmtId="0" fontId="0" fillId="0" borderId="0"/>
    <xf numFmtId="0" fontId="2" fillId="2" borderId="0" applyNumberFormat="0" applyBorder="0" applyAlignment="0" applyProtection="0"/>
    <xf numFmtId="0" fontId="1" fillId="3" borderId="1" applyNumberFormat="0" applyAlignment="0" applyProtection="0"/>
    <xf numFmtId="0" fontId="10" fillId="4" borderId="2" applyNumberFormat="0" applyAlignment="0" applyProtection="0"/>
    <xf numFmtId="0" fontId="6"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9" fontId="1" fillId="0" borderId="0" applyFont="0" applyFill="0" applyBorder="0" applyAlignment="0" applyProtection="0"/>
    <xf numFmtId="0" fontId="1" fillId="9" borderId="0" applyNumberFormat="0" applyBorder="0" applyAlignment="0" applyProtection="0"/>
    <xf numFmtId="0" fontId="1"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5" fillId="13" borderId="0" applyNumberFormat="0" applyBorder="0" applyAlignment="0" applyProtection="0"/>
    <xf numFmtId="0" fontId="1" fillId="14" borderId="0" applyNumberFormat="0" applyBorder="0" applyAlignment="0" applyProtection="0"/>
  </cellStyleXfs>
  <cellXfs count="194">
    <xf numFmtId="0" fontId="0" fillId="0" borderId="0" xfId="0"/>
    <xf numFmtId="2" fontId="0" fillId="0" borderId="0" xfId="0" applyNumberFormat="1"/>
    <xf numFmtId="0" fontId="0" fillId="0" borderId="0" xfId="0" applyAlignment="1">
      <alignment wrapText="1"/>
    </xf>
    <xf numFmtId="0" fontId="1" fillId="3" borderId="1" xfId="2"/>
    <xf numFmtId="0" fontId="2" fillId="2" borderId="0" xfId="1"/>
    <xf numFmtId="0" fontId="0" fillId="0" borderId="0" xfId="0" applyNumberFormat="1"/>
    <xf numFmtId="164" fontId="0" fillId="0" borderId="0" xfId="0" applyNumberFormat="1"/>
    <xf numFmtId="0" fontId="0" fillId="0" borderId="5" xfId="0" applyBorder="1"/>
    <xf numFmtId="0" fontId="0" fillId="0" borderId="0" xfId="0" applyBorder="1"/>
    <xf numFmtId="0" fontId="7" fillId="0" borderId="0" xfId="0" applyFont="1"/>
    <xf numFmtId="0" fontId="8" fillId="8" borderId="10" xfId="0" applyFont="1" applyFill="1" applyBorder="1" applyAlignment="1">
      <alignment horizontal="center" vertical="center" wrapText="1"/>
    </xf>
    <xf numFmtId="0" fontId="9" fillId="0" borderId="3" xfId="0" applyFont="1" applyBorder="1"/>
    <xf numFmtId="0" fontId="0" fillId="0" borderId="4" xfId="0" applyBorder="1"/>
    <xf numFmtId="0" fontId="0" fillId="0" borderId="0" xfId="0" applyFont="1" applyAlignment="1">
      <alignment horizontal="right"/>
    </xf>
    <xf numFmtId="0" fontId="0" fillId="0" borderId="0" xfId="0" applyFont="1" applyAlignment="1">
      <alignment horizontal="left"/>
    </xf>
    <xf numFmtId="14" fontId="0" fillId="0" borderId="0" xfId="0" applyNumberFormat="1"/>
    <xf numFmtId="14" fontId="9" fillId="0" borderId="3" xfId="0" applyNumberFormat="1" applyFont="1" applyBorder="1"/>
    <xf numFmtId="0" fontId="9" fillId="0" borderId="3" xfId="0" applyNumberFormat="1" applyFont="1" applyBorder="1" applyAlignment="1">
      <alignment horizontal="right"/>
    </xf>
    <xf numFmtId="0" fontId="1" fillId="9" borderId="3" xfId="8" applyBorder="1"/>
    <xf numFmtId="0" fontId="0" fillId="9" borderId="3" xfId="8" applyFont="1" applyBorder="1" applyAlignment="1">
      <alignment wrapText="1"/>
    </xf>
    <xf numFmtId="0" fontId="0" fillId="0" borderId="0" xfId="0" applyNumberFormat="1" applyFont="1"/>
    <xf numFmtId="9" fontId="0" fillId="0" borderId="0" xfId="7" applyFont="1"/>
    <xf numFmtId="2" fontId="0" fillId="0" borderId="0" xfId="7" applyNumberFormat="1" applyFont="1"/>
    <xf numFmtId="0" fontId="0" fillId="4" borderId="3" xfId="3" applyFont="1" applyBorder="1" applyAlignment="1">
      <alignment wrapText="1"/>
    </xf>
    <xf numFmtId="2" fontId="10" fillId="4" borderId="3" xfId="3" applyNumberFormat="1" applyBorder="1"/>
    <xf numFmtId="2" fontId="10" fillId="4" borderId="11" xfId="3" applyNumberFormat="1" applyBorder="1"/>
    <xf numFmtId="0" fontId="0" fillId="4" borderId="13" xfId="3" applyFont="1" applyBorder="1" applyAlignment="1">
      <alignment wrapText="1"/>
    </xf>
    <xf numFmtId="0" fontId="0" fillId="4" borderId="14" xfId="3" applyFont="1" applyBorder="1" applyAlignment="1">
      <alignment wrapText="1"/>
    </xf>
    <xf numFmtId="0" fontId="10" fillId="4" borderId="3" xfId="3" applyFont="1" applyBorder="1" applyAlignment="1">
      <alignment wrapText="1"/>
    </xf>
    <xf numFmtId="0" fontId="10" fillId="4" borderId="3" xfId="3" applyFont="1" applyBorder="1"/>
    <xf numFmtId="2" fontId="0" fillId="4" borderId="3" xfId="3" applyNumberFormat="1" applyFont="1" applyBorder="1"/>
    <xf numFmtId="0" fontId="10" fillId="5" borderId="3" xfId="4" applyFont="1" applyBorder="1" applyAlignment="1">
      <alignment wrapText="1"/>
    </xf>
    <xf numFmtId="0" fontId="10" fillId="2" borderId="3" xfId="1" applyFont="1" applyBorder="1" applyAlignment="1">
      <alignment wrapText="1"/>
    </xf>
    <xf numFmtId="0" fontId="10" fillId="2" borderId="3" xfId="1" applyNumberFormat="1" applyFont="1" applyBorder="1" applyAlignment="1">
      <alignment wrapText="1"/>
    </xf>
    <xf numFmtId="0" fontId="10" fillId="5" borderId="3" xfId="4" applyFont="1" applyBorder="1"/>
    <xf numFmtId="0" fontId="10" fillId="2" borderId="3" xfId="1" applyFont="1" applyBorder="1"/>
    <xf numFmtId="0" fontId="10" fillId="2" borderId="3" xfId="1" applyNumberFormat="1" applyFont="1" applyBorder="1"/>
    <xf numFmtId="2" fontId="10" fillId="4" borderId="13" xfId="3" applyNumberFormat="1" applyBorder="1"/>
    <xf numFmtId="0" fontId="10" fillId="4" borderId="13" xfId="3" applyBorder="1"/>
    <xf numFmtId="2" fontId="10" fillId="4" borderId="14" xfId="3" applyNumberFormat="1" applyBorder="1"/>
    <xf numFmtId="0" fontId="5" fillId="0" borderId="0" xfId="0" applyFont="1"/>
    <xf numFmtId="0" fontId="12" fillId="0" borderId="0" xfId="0" applyFont="1"/>
    <xf numFmtId="0" fontId="5" fillId="0" borderId="15" xfId="0" applyFont="1" applyBorder="1"/>
    <xf numFmtId="0" fontId="5" fillId="0" borderId="16" xfId="0" applyFont="1" applyBorder="1"/>
    <xf numFmtId="2" fontId="5" fillId="0" borderId="17" xfId="0" applyNumberFormat="1" applyFont="1" applyBorder="1"/>
    <xf numFmtId="9" fontId="5" fillId="0" borderId="17" xfId="7" applyFont="1" applyBorder="1"/>
    <xf numFmtId="2" fontId="5" fillId="0" borderId="0" xfId="0" applyNumberFormat="1" applyFont="1"/>
    <xf numFmtId="0" fontId="0" fillId="4" borderId="18" xfId="3" applyFont="1" applyBorder="1" applyAlignment="1">
      <alignment wrapText="1"/>
    </xf>
    <xf numFmtId="2" fontId="10" fillId="4" borderId="19" xfId="3" applyNumberFormat="1" applyBorder="1"/>
    <xf numFmtId="2" fontId="10" fillId="4" borderId="18" xfId="3" applyNumberFormat="1" applyBorder="1"/>
    <xf numFmtId="0" fontId="0" fillId="4" borderId="20" xfId="3" applyFont="1" applyBorder="1" applyAlignment="1">
      <alignment wrapText="1"/>
    </xf>
    <xf numFmtId="2" fontId="10" fillId="4" borderId="12" xfId="3" applyNumberFormat="1" applyBorder="1"/>
    <xf numFmtId="2" fontId="10" fillId="4" borderId="20" xfId="3" applyNumberFormat="1" applyBorder="1"/>
    <xf numFmtId="0" fontId="10" fillId="4" borderId="3" xfId="3" applyBorder="1" applyAlignment="1">
      <alignment wrapText="1"/>
    </xf>
    <xf numFmtId="1" fontId="0" fillId="0" borderId="0" xfId="0" applyNumberFormat="1"/>
    <xf numFmtId="0" fontId="1" fillId="10" borderId="3" xfId="9" applyBorder="1"/>
    <xf numFmtId="0" fontId="1" fillId="10" borderId="3" xfId="9" applyBorder="1" applyAlignment="1">
      <alignment wrapText="1"/>
    </xf>
    <xf numFmtId="0" fontId="10" fillId="5" borderId="12" xfId="4" applyFont="1" applyBorder="1" applyAlignment="1">
      <alignment wrapText="1"/>
    </xf>
    <xf numFmtId="165" fontId="10" fillId="5" borderId="12" xfId="4" applyNumberFormat="1" applyFont="1" applyBorder="1"/>
    <xf numFmtId="0" fontId="0" fillId="10" borderId="3" xfId="9" applyFont="1" applyBorder="1" applyAlignment="1">
      <alignment wrapText="1"/>
    </xf>
    <xf numFmtId="1" fontId="5" fillId="0" borderId="0" xfId="0" applyNumberFormat="1" applyFont="1"/>
    <xf numFmtId="0" fontId="0" fillId="9" borderId="0" xfId="8" applyFont="1" applyAlignment="1">
      <alignment wrapText="1"/>
    </xf>
    <xf numFmtId="9" fontId="1" fillId="3" borderId="1" xfId="2" applyNumberFormat="1"/>
    <xf numFmtId="2" fontId="1" fillId="3" borderId="1" xfId="2" applyNumberFormat="1"/>
    <xf numFmtId="0" fontId="1" fillId="10" borderId="12" xfId="9" applyBorder="1"/>
    <xf numFmtId="0" fontId="10" fillId="12" borderId="3" xfId="11" applyBorder="1" applyAlignment="1">
      <alignment wrapText="1"/>
    </xf>
    <xf numFmtId="0" fontId="10" fillId="12" borderId="3" xfId="11" applyBorder="1"/>
    <xf numFmtId="0" fontId="10" fillId="11" borderId="3" xfId="10" applyBorder="1" applyAlignment="1">
      <alignment horizontal="center"/>
    </xf>
    <xf numFmtId="0" fontId="10" fillId="11" borderId="3" xfId="10" applyBorder="1" applyAlignment="1">
      <alignment wrapText="1"/>
    </xf>
    <xf numFmtId="0" fontId="10" fillId="11" borderId="3" xfId="10" applyBorder="1"/>
    <xf numFmtId="9" fontId="0" fillId="0" borderId="0" xfId="7" applyFont="1" applyAlignment="1">
      <alignment wrapText="1"/>
    </xf>
    <xf numFmtId="2" fontId="0" fillId="0" borderId="0" xfId="7" applyNumberFormat="1" applyFont="1" applyAlignment="1">
      <alignment wrapText="1"/>
    </xf>
    <xf numFmtId="0" fontId="0" fillId="0" borderId="0" xfId="0" applyAlignment="1">
      <alignment horizontal="left" wrapText="1"/>
    </xf>
    <xf numFmtId="49" fontId="0" fillId="0" borderId="0" xfId="0" applyNumberFormat="1"/>
    <xf numFmtId="0" fontId="1" fillId="3" borderId="1" xfId="2" applyAlignment="1">
      <alignment wrapText="1"/>
    </xf>
    <xf numFmtId="0" fontId="10" fillId="11" borderId="11" xfId="10" applyBorder="1"/>
    <xf numFmtId="166" fontId="5" fillId="0" borderId="0" xfId="0" applyNumberFormat="1" applyFont="1"/>
    <xf numFmtId="2" fontId="5" fillId="0" borderId="10" xfId="0" applyNumberFormat="1" applyFont="1" applyBorder="1"/>
    <xf numFmtId="1" fontId="1" fillId="3" borderId="3" xfId="2" applyNumberFormat="1" applyBorder="1"/>
    <xf numFmtId="1" fontId="10" fillId="5" borderId="3" xfId="4" applyNumberFormat="1" applyFont="1" applyBorder="1"/>
    <xf numFmtId="2" fontId="10" fillId="5" borderId="3" xfId="4" applyNumberFormat="1" applyFont="1" applyBorder="1"/>
    <xf numFmtId="166" fontId="10" fillId="5" borderId="3" xfId="4" applyNumberFormat="1" applyFont="1" applyBorder="1"/>
    <xf numFmtId="2" fontId="1" fillId="9" borderId="3" xfId="8" applyNumberFormat="1" applyBorder="1"/>
    <xf numFmtId="2" fontId="10" fillId="2" borderId="3" xfId="1" applyNumberFormat="1" applyFont="1" applyBorder="1"/>
    <xf numFmtId="1" fontId="0" fillId="10" borderId="11" xfId="9" applyNumberFormat="1" applyFont="1" applyBorder="1" applyAlignment="1">
      <alignment wrapText="1"/>
    </xf>
    <xf numFmtId="1" fontId="1" fillId="10" borderId="11" xfId="9" applyNumberFormat="1" applyBorder="1"/>
    <xf numFmtId="2" fontId="10" fillId="4" borderId="3" xfId="3" applyNumberFormat="1" applyFont="1" applyBorder="1"/>
    <xf numFmtId="167" fontId="10" fillId="12" borderId="12" xfId="11" applyNumberFormat="1" applyBorder="1"/>
    <xf numFmtId="0" fontId="0" fillId="3" borderId="1" xfId="2" applyFont="1"/>
    <xf numFmtId="2" fontId="0" fillId="0" borderId="7" xfId="0" applyNumberFormat="1" applyBorder="1"/>
    <xf numFmtId="1" fontId="0" fillId="0" borderId="6" xfId="0" applyNumberFormat="1" applyBorder="1"/>
    <xf numFmtId="2" fontId="1" fillId="3" borderId="22" xfId="2" applyNumberFormat="1" applyBorder="1"/>
    <xf numFmtId="0" fontId="0" fillId="0" borderId="21" xfId="0" applyBorder="1"/>
    <xf numFmtId="0" fontId="1" fillId="3" borderId="23" xfId="2" applyBorder="1"/>
    <xf numFmtId="49" fontId="2" fillId="2" borderId="21" xfId="1" applyNumberFormat="1" applyBorder="1"/>
    <xf numFmtId="0" fontId="2" fillId="2" borderId="21" xfId="1" applyBorder="1"/>
    <xf numFmtId="0" fontId="2" fillId="2" borderId="21" xfId="1" applyBorder="1" applyAlignment="1">
      <alignment wrapText="1"/>
    </xf>
    <xf numFmtId="9" fontId="2" fillId="2" borderId="21" xfId="1" applyNumberFormat="1" applyBorder="1" applyAlignment="1">
      <alignment wrapText="1"/>
    </xf>
    <xf numFmtId="2" fontId="0" fillId="0" borderId="21" xfId="7" applyNumberFormat="1" applyFont="1" applyBorder="1" applyAlignment="1">
      <alignment wrapText="1"/>
    </xf>
    <xf numFmtId="2" fontId="1" fillId="3" borderId="23" xfId="2" applyNumberFormat="1" applyBorder="1"/>
    <xf numFmtId="0" fontId="14" fillId="0" borderId="21" xfId="0" applyFont="1" applyBorder="1"/>
    <xf numFmtId="9" fontId="2" fillId="2" borderId="21" xfId="1" applyNumberFormat="1" applyBorder="1"/>
    <xf numFmtId="2" fontId="0" fillId="0" borderId="21" xfId="7" applyNumberFormat="1" applyFont="1" applyBorder="1"/>
    <xf numFmtId="2" fontId="1" fillId="3" borderId="24" xfId="2" applyNumberFormat="1" applyBorder="1"/>
    <xf numFmtId="49" fontId="2" fillId="2" borderId="0" xfId="1" applyNumberFormat="1" applyBorder="1"/>
    <xf numFmtId="0" fontId="2" fillId="2" borderId="0" xfId="1" applyBorder="1"/>
    <xf numFmtId="9" fontId="2" fillId="2" borderId="0" xfId="1" applyNumberFormat="1" applyBorder="1"/>
    <xf numFmtId="2" fontId="0" fillId="0" borderId="0" xfId="7" applyNumberFormat="1" applyFont="1" applyBorder="1"/>
    <xf numFmtId="2" fontId="1" fillId="3" borderId="1" xfId="2" applyNumberFormat="1" applyBorder="1"/>
    <xf numFmtId="0" fontId="1" fillId="3" borderId="21" xfId="2" applyBorder="1"/>
    <xf numFmtId="0" fontId="1" fillId="3" borderId="0" xfId="2" applyBorder="1"/>
    <xf numFmtId="0" fontId="0" fillId="3" borderId="0" xfId="2" applyFont="1" applyBorder="1"/>
    <xf numFmtId="0" fontId="0" fillId="3" borderId="21" xfId="2" applyFont="1" applyBorder="1"/>
    <xf numFmtId="9" fontId="0" fillId="0" borderId="0" xfId="0" applyNumberFormat="1"/>
    <xf numFmtId="9" fontId="1" fillId="3" borderId="21" xfId="2" applyNumberFormat="1" applyBorder="1"/>
    <xf numFmtId="9" fontId="1" fillId="3" borderId="0" xfId="2" applyNumberFormat="1" applyBorder="1"/>
    <xf numFmtId="9" fontId="0" fillId="3" borderId="0" xfId="2" applyNumberFormat="1" applyFont="1" applyBorder="1"/>
    <xf numFmtId="9" fontId="0" fillId="3" borderId="21" xfId="2" applyNumberFormat="1" applyFont="1" applyBorder="1"/>
    <xf numFmtId="9" fontId="0" fillId="0" borderId="0" xfId="0" applyNumberFormat="1" applyBorder="1"/>
    <xf numFmtId="9" fontId="0" fillId="0" borderId="0" xfId="0" applyNumberFormat="1" applyFill="1" applyBorder="1"/>
    <xf numFmtId="0" fontId="2" fillId="2" borderId="21" xfId="1" applyBorder="1" applyAlignment="1">
      <alignment horizontal="left"/>
    </xf>
    <xf numFmtId="0" fontId="2" fillId="2" borderId="0" xfId="1" applyBorder="1" applyAlignment="1">
      <alignment horizontal="left"/>
    </xf>
    <xf numFmtId="0" fontId="0" fillId="0" borderId="6" xfId="0" applyBorder="1"/>
    <xf numFmtId="0" fontId="0" fillId="0" borderId="7" xfId="0" applyNumberFormat="1" applyBorder="1"/>
    <xf numFmtId="0" fontId="0" fillId="0" borderId="8" xfId="0" applyBorder="1"/>
    <xf numFmtId="0" fontId="0" fillId="0" borderId="7" xfId="0" applyBorder="1"/>
    <xf numFmtId="0" fontId="0" fillId="0" borderId="26" xfId="0" applyBorder="1"/>
    <xf numFmtId="0" fontId="2" fillId="2" borderId="0" xfId="1" applyBorder="1" applyAlignment="1">
      <alignment wrapText="1"/>
    </xf>
    <xf numFmtId="0" fontId="1" fillId="3" borderId="25" xfId="2" applyBorder="1" applyAlignment="1">
      <alignment wrapText="1"/>
    </xf>
    <xf numFmtId="9" fontId="0" fillId="3" borderId="25" xfId="2" applyNumberFormat="1" applyFont="1" applyBorder="1" applyAlignment="1">
      <alignment wrapText="1"/>
    </xf>
    <xf numFmtId="0" fontId="0" fillId="3" borderId="28" xfId="2" applyFont="1" applyBorder="1" applyAlignment="1">
      <alignment wrapText="1"/>
    </xf>
    <xf numFmtId="0" fontId="0" fillId="0" borderId="9" xfId="0" applyBorder="1"/>
    <xf numFmtId="0" fontId="0" fillId="0" borderId="0" xfId="0" applyFill="1" applyBorder="1"/>
    <xf numFmtId="0" fontId="0" fillId="0" borderId="0" xfId="0" applyFont="1"/>
    <xf numFmtId="0" fontId="0" fillId="3" borderId="25" xfId="2" applyFont="1" applyBorder="1" applyAlignment="1">
      <alignment wrapText="1"/>
    </xf>
    <xf numFmtId="0" fontId="10" fillId="4" borderId="3" xfId="3" applyBorder="1"/>
    <xf numFmtId="0" fontId="10" fillId="4" borderId="20" xfId="3" applyBorder="1"/>
    <xf numFmtId="0" fontId="10" fillId="4" borderId="20" xfId="3" applyBorder="1" applyAlignment="1">
      <alignment wrapText="1"/>
    </xf>
    <xf numFmtId="0" fontId="0" fillId="0" borderId="16" xfId="0" applyBorder="1"/>
    <xf numFmtId="167" fontId="0" fillId="0" borderId="10" xfId="0" applyNumberFormat="1" applyBorder="1"/>
    <xf numFmtId="0" fontId="15" fillId="13" borderId="8" xfId="12" applyBorder="1"/>
    <xf numFmtId="0" fontId="15" fillId="13" borderId="21" xfId="12" applyBorder="1"/>
    <xf numFmtId="0" fontId="15" fillId="13" borderId="9" xfId="12" applyBorder="1"/>
    <xf numFmtId="1" fontId="15" fillId="13" borderId="8" xfId="12" applyNumberFormat="1" applyBorder="1"/>
    <xf numFmtId="2" fontId="15" fillId="13" borderId="9" xfId="12" applyNumberFormat="1" applyBorder="1"/>
    <xf numFmtId="166" fontId="0" fillId="0" borderId="0" xfId="0" applyNumberFormat="1"/>
    <xf numFmtId="2" fontId="0" fillId="0" borderId="0" xfId="0" applyNumberFormat="1" applyBorder="1" applyAlignment="1">
      <alignment horizontal="right"/>
    </xf>
    <xf numFmtId="0" fontId="10" fillId="12" borderId="19" xfId="11" applyBorder="1" applyAlignment="1"/>
    <xf numFmtId="0" fontId="10" fillId="12" borderId="12" xfId="11" applyBorder="1" applyAlignment="1"/>
    <xf numFmtId="0" fontId="15" fillId="13" borderId="9" xfId="12" applyNumberFormat="1" applyBorder="1"/>
    <xf numFmtId="0" fontId="1" fillId="14" borderId="3" xfId="13" applyBorder="1" applyAlignment="1">
      <alignment wrapText="1"/>
    </xf>
    <xf numFmtId="0" fontId="1" fillId="14" borderId="3" xfId="13" applyBorder="1"/>
    <xf numFmtId="0" fontId="10" fillId="12" borderId="12" xfId="11" applyBorder="1" applyAlignment="1">
      <alignment wrapText="1"/>
    </xf>
    <xf numFmtId="0" fontId="10" fillId="12" borderId="12" xfId="11" applyBorder="1"/>
    <xf numFmtId="0" fontId="1" fillId="14" borderId="3" xfId="13" applyBorder="1" applyAlignment="1">
      <alignment horizontal="center"/>
    </xf>
    <xf numFmtId="2" fontId="1" fillId="14" borderId="3" xfId="13" applyNumberFormat="1" applyBorder="1"/>
    <xf numFmtId="2" fontId="10" fillId="12" borderId="12" xfId="11" applyNumberFormat="1" applyBorder="1"/>
    <xf numFmtId="2" fontId="10" fillId="4" borderId="3" xfId="3" applyNumberFormat="1" applyBorder="1" applyAlignment="1">
      <alignment wrapText="1"/>
    </xf>
    <xf numFmtId="14" fontId="7" fillId="0" borderId="0" xfId="0" applyNumberFormat="1" applyFont="1"/>
    <xf numFmtId="0" fontId="9" fillId="0" borderId="0" xfId="0" applyFont="1"/>
    <xf numFmtId="14" fontId="9" fillId="0" borderId="0" xfId="0" applyNumberFormat="1" applyFont="1"/>
    <xf numFmtId="14" fontId="8" fillId="8" borderId="10" xfId="0" applyNumberFormat="1" applyFont="1" applyFill="1" applyBorder="1" applyAlignment="1">
      <alignment horizontal="center" vertical="center" wrapText="1"/>
    </xf>
    <xf numFmtId="0" fontId="10" fillId="7" borderId="13" xfId="6" applyBorder="1"/>
    <xf numFmtId="0" fontId="10" fillId="11" borderId="11" xfId="10" applyBorder="1" applyAlignment="1">
      <alignment wrapText="1"/>
    </xf>
    <xf numFmtId="0" fontId="10" fillId="7" borderId="3" xfId="6" applyBorder="1" applyAlignment="1">
      <alignment wrapText="1"/>
    </xf>
    <xf numFmtId="0" fontId="10" fillId="7" borderId="3" xfId="6" applyBorder="1"/>
    <xf numFmtId="0" fontId="10" fillId="7" borderId="13" xfId="6" applyBorder="1" applyAlignment="1">
      <alignment wrapText="1"/>
    </xf>
    <xf numFmtId="0" fontId="10" fillId="12" borderId="3" xfId="11" applyBorder="1" applyAlignment="1">
      <alignment horizontal="center"/>
    </xf>
    <xf numFmtId="9" fontId="1" fillId="3" borderId="23" xfId="7" applyFill="1" applyBorder="1"/>
    <xf numFmtId="49" fontId="2" fillId="2" borderId="0" xfId="1" applyNumberFormat="1"/>
    <xf numFmtId="9" fontId="1" fillId="3" borderId="23" xfId="2" applyNumberFormat="1" applyBorder="1"/>
    <xf numFmtId="9" fontId="1" fillId="3" borderId="22" xfId="2" applyNumberFormat="1" applyBorder="1"/>
    <xf numFmtId="0" fontId="1" fillId="3" borderId="22" xfId="2" applyBorder="1"/>
    <xf numFmtId="2" fontId="1" fillId="3" borderId="31" xfId="2" applyNumberFormat="1" applyBorder="1"/>
    <xf numFmtId="0" fontId="1" fillId="3" borderId="24" xfId="2" applyBorder="1"/>
    <xf numFmtId="2" fontId="1" fillId="3" borderId="0" xfId="2" applyNumberFormat="1" applyBorder="1"/>
    <xf numFmtId="0" fontId="10" fillId="4" borderId="18" xfId="3" applyBorder="1" applyAlignment="1">
      <alignment wrapText="1"/>
    </xf>
    <xf numFmtId="0" fontId="0" fillId="0" borderId="0" xfId="0" applyBorder="1" applyAlignment="1">
      <alignment horizontal="left" vertical="top"/>
    </xf>
    <xf numFmtId="0" fontId="0" fillId="0" borderId="21" xfId="0" applyBorder="1" applyAlignment="1">
      <alignment horizontal="left" vertical="top"/>
    </xf>
    <xf numFmtId="0" fontId="6" fillId="5" borderId="3" xfId="4" applyBorder="1" applyAlignment="1">
      <alignment horizontal="center"/>
    </xf>
    <xf numFmtId="0" fontId="0" fillId="10" borderId="3" xfId="9" applyFont="1" applyBorder="1" applyAlignment="1">
      <alignment horizontal="center"/>
    </xf>
    <xf numFmtId="0" fontId="1" fillId="10" borderId="3" xfId="9" applyBorder="1" applyAlignment="1">
      <alignment horizontal="center"/>
    </xf>
    <xf numFmtId="0" fontId="1" fillId="10" borderId="27" xfId="9" applyBorder="1" applyAlignment="1">
      <alignment horizontal="center"/>
    </xf>
    <xf numFmtId="0" fontId="0" fillId="4" borderId="29" xfId="3" applyFont="1" applyBorder="1" applyAlignment="1">
      <alignment horizontal="center"/>
    </xf>
    <xf numFmtId="0" fontId="0" fillId="4" borderId="0" xfId="3" applyFont="1" applyBorder="1" applyAlignment="1">
      <alignment horizontal="center"/>
    </xf>
    <xf numFmtId="0" fontId="0" fillId="4" borderId="30" xfId="3" applyFont="1" applyBorder="1" applyAlignment="1">
      <alignment horizontal="center"/>
    </xf>
    <xf numFmtId="0" fontId="10" fillId="5" borderId="3" xfId="4" applyFont="1" applyBorder="1" applyAlignment="1">
      <alignment horizontal="center"/>
    </xf>
    <xf numFmtId="0" fontId="10" fillId="2" borderId="3" xfId="1" applyFont="1" applyBorder="1" applyAlignment="1">
      <alignment horizontal="center"/>
    </xf>
    <xf numFmtId="0" fontId="0" fillId="9" borderId="3" xfId="8" applyFont="1" applyBorder="1" applyAlignment="1">
      <alignment horizontal="center"/>
    </xf>
    <xf numFmtId="0" fontId="10" fillId="12" borderId="3" xfId="11" applyBorder="1" applyAlignment="1">
      <alignment horizontal="center"/>
    </xf>
    <xf numFmtId="0" fontId="11" fillId="0" borderId="0" xfId="0" quotePrefix="1" applyNumberFormat="1" applyFont="1"/>
    <xf numFmtId="0" fontId="0" fillId="0" borderId="21" xfId="0" quotePrefix="1" applyBorder="1"/>
    <xf numFmtId="0" fontId="0" fillId="0" borderId="26" xfId="0" quotePrefix="1" applyBorder="1" applyAlignment="1">
      <alignment horizontal="left" vertical="top"/>
    </xf>
    <xf numFmtId="0" fontId="0" fillId="0" borderId="0" xfId="0" quotePrefix="1" applyBorder="1"/>
  </cellXfs>
  <cellStyles count="14">
    <cellStyle name="40% - Accent1" xfId="9" builtinId="31"/>
    <cellStyle name="40% - Accent2" xfId="13" builtinId="35"/>
    <cellStyle name="40% - Accent4" xfId="8" builtinId="43"/>
    <cellStyle name="60% - Accent3" xfId="11" builtinId="40" customBuiltin="1"/>
    <cellStyle name="60% - Accent4" xfId="5" builtinId="44" customBuiltin="1"/>
    <cellStyle name="60% - Accent6" xfId="6" builtinId="52" customBuiltin="1"/>
    <cellStyle name="Accent3" xfId="10" builtinId="37" customBuiltin="1"/>
    <cellStyle name="Bad" xfId="12" builtinId="27"/>
    <cellStyle name="Good" xfId="1" builtinId="26"/>
    <cellStyle name="Input" xfId="2" builtinId="20" customBuiltin="1"/>
    <cellStyle name="Neutral" xfId="4" builtinId="28"/>
    <cellStyle name="Normal" xfId="0" builtinId="0"/>
    <cellStyle name="Note" xfId="3" builtinId="10" customBuiltin="1"/>
    <cellStyle name="Percent" xfId="7" builtinId="5"/>
  </cellStyles>
  <dxfs count="0"/>
  <tableStyles count="0" defaultTableStyle="TableStyleMedium2" defaultPivotStyle="PivotStyleLight16"/>
  <colors>
    <mruColors>
      <color rgb="FFE632EA"/>
      <color rgb="FF17F517"/>
      <color rgb="FFDE8400"/>
      <color rgb="FF996633"/>
      <color rgb="FFFF9900"/>
      <color rgb="FF969696"/>
      <color rgb="FF5F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2436903221853E-2"/>
          <c:y val="7.0633866933956485E-2"/>
          <c:w val="0.83702530144979159"/>
          <c:h val="0.67368365166876643"/>
        </c:manualLayout>
      </c:layout>
      <c:barChart>
        <c:barDir val="col"/>
        <c:grouping val="clustered"/>
        <c:varyColors val="0"/>
        <c:ser>
          <c:idx val="0"/>
          <c:order val="3"/>
          <c:tx>
            <c:v>Irrigation</c:v>
          </c:tx>
          <c:spPr>
            <a:solidFill>
              <a:srgbClr val="17F517"/>
            </a:solidFill>
            <a:ln w="31750">
              <a:solidFill>
                <a:srgbClr val="17F517"/>
              </a:solidFill>
            </a:ln>
            <a:effectLst/>
          </c:spPr>
          <c:invertIfNegative val="0"/>
          <c:cat>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cat>
          <c:val>
            <c:numRef>
              <c:f>'Fig 6'!$Q$11:$Q$113</c:f>
              <c:numCache>
                <c:formatCode>0.00</c:formatCode>
                <c:ptCount val="103"/>
                <c:pt idx="0">
                  <c:v>0</c:v>
                </c:pt>
                <c:pt idx="1">
                  <c:v>0</c:v>
                </c:pt>
                <c:pt idx="2">
                  <c:v>0.66457720124293895</c:v>
                </c:pt>
                <c:pt idx="3">
                  <c:v>0.57123770668634644</c:v>
                </c:pt>
                <c:pt idx="4">
                  <c:v>0</c:v>
                </c:pt>
                <c:pt idx="5">
                  <c:v>7.467159564527405E-3</c:v>
                </c:pt>
                <c:pt idx="6">
                  <c:v>7.467159564527405E-3</c:v>
                </c:pt>
                <c:pt idx="7">
                  <c:v>3.7335797822637025E-3</c:v>
                </c:pt>
                <c:pt idx="8">
                  <c:v>1.3328879822681416</c:v>
                </c:pt>
                <c:pt idx="9">
                  <c:v>0</c:v>
                </c:pt>
                <c:pt idx="10">
                  <c:v>0</c:v>
                </c:pt>
                <c:pt idx="11">
                  <c:v>0</c:v>
                </c:pt>
                <c:pt idx="12">
                  <c:v>0</c:v>
                </c:pt>
                <c:pt idx="13">
                  <c:v>0</c:v>
                </c:pt>
                <c:pt idx="14">
                  <c:v>0.37709155800863398</c:v>
                </c:pt>
                <c:pt idx="15">
                  <c:v>0</c:v>
                </c:pt>
                <c:pt idx="16">
                  <c:v>0</c:v>
                </c:pt>
                <c:pt idx="17">
                  <c:v>6.7577794058973017</c:v>
                </c:pt>
                <c:pt idx="18">
                  <c:v>0</c:v>
                </c:pt>
                <c:pt idx="19">
                  <c:v>0</c:v>
                </c:pt>
                <c:pt idx="20">
                  <c:v>0</c:v>
                </c:pt>
                <c:pt idx="21">
                  <c:v>0</c:v>
                </c:pt>
                <c:pt idx="22">
                  <c:v>8.6021678183355714</c:v>
                </c:pt>
                <c:pt idx="23">
                  <c:v>0</c:v>
                </c:pt>
                <c:pt idx="24">
                  <c:v>0</c:v>
                </c:pt>
                <c:pt idx="25">
                  <c:v>0</c:v>
                </c:pt>
                <c:pt idx="26">
                  <c:v>0</c:v>
                </c:pt>
                <c:pt idx="27">
                  <c:v>0</c:v>
                </c:pt>
                <c:pt idx="28">
                  <c:v>3.8978572926833053</c:v>
                </c:pt>
                <c:pt idx="29">
                  <c:v>0.30241996236335988</c:v>
                </c:pt>
                <c:pt idx="30">
                  <c:v>6.1044029440011522</c:v>
                </c:pt>
                <c:pt idx="31">
                  <c:v>0</c:v>
                </c:pt>
                <c:pt idx="32">
                  <c:v>9.7222417530146803</c:v>
                </c:pt>
                <c:pt idx="33">
                  <c:v>0</c:v>
                </c:pt>
                <c:pt idx="34">
                  <c:v>0</c:v>
                </c:pt>
                <c:pt idx="35">
                  <c:v>8.0495980105605422</c:v>
                </c:pt>
                <c:pt idx="36">
                  <c:v>0</c:v>
                </c:pt>
                <c:pt idx="37">
                  <c:v>0</c:v>
                </c:pt>
                <c:pt idx="38">
                  <c:v>0</c:v>
                </c:pt>
                <c:pt idx="39">
                  <c:v>1.2656835461873952</c:v>
                </c:pt>
                <c:pt idx="40">
                  <c:v>6.7204436080746652E-2</c:v>
                </c:pt>
                <c:pt idx="41">
                  <c:v>0</c:v>
                </c:pt>
                <c:pt idx="42">
                  <c:v>2.7777833580041946</c:v>
                </c:pt>
                <c:pt idx="43">
                  <c:v>0</c:v>
                </c:pt>
                <c:pt idx="44">
                  <c:v>7.0639329480429263</c:v>
                </c:pt>
                <c:pt idx="45">
                  <c:v>0</c:v>
                </c:pt>
                <c:pt idx="46">
                  <c:v>0</c:v>
                </c:pt>
                <c:pt idx="47">
                  <c:v>0</c:v>
                </c:pt>
                <c:pt idx="48">
                  <c:v>0</c:v>
                </c:pt>
                <c:pt idx="49">
                  <c:v>0</c:v>
                </c:pt>
                <c:pt idx="50">
                  <c:v>6.8137831026312563</c:v>
                </c:pt>
                <c:pt idx="51">
                  <c:v>3.7335797822637025E-2</c:v>
                </c:pt>
                <c:pt idx="52">
                  <c:v>9.7371760721437361</c:v>
                </c:pt>
                <c:pt idx="53">
                  <c:v>1.7585160774462039</c:v>
                </c:pt>
                <c:pt idx="54">
                  <c:v>4.7491134830394293</c:v>
                </c:pt>
                <c:pt idx="55">
                  <c:v>0</c:v>
                </c:pt>
                <c:pt idx="56">
                  <c:v>0</c:v>
                </c:pt>
                <c:pt idx="57">
                  <c:v>10.267344401225181</c:v>
                </c:pt>
                <c:pt idx="58">
                  <c:v>11.088731953323197</c:v>
                </c:pt>
                <c:pt idx="59">
                  <c:v>0.72431447775915814</c:v>
                </c:pt>
                <c:pt idx="60">
                  <c:v>7.3514185912772287</c:v>
                </c:pt>
                <c:pt idx="61">
                  <c:v>0</c:v>
                </c:pt>
                <c:pt idx="62">
                  <c:v>0</c:v>
                </c:pt>
                <c:pt idx="63">
                  <c:v>0</c:v>
                </c:pt>
                <c:pt idx="64">
                  <c:v>0</c:v>
                </c:pt>
                <c:pt idx="65">
                  <c:v>0</c:v>
                </c:pt>
                <c:pt idx="66">
                  <c:v>0</c:v>
                </c:pt>
                <c:pt idx="67">
                  <c:v>10.222541443838017</c:v>
                </c:pt>
                <c:pt idx="68">
                  <c:v>0</c:v>
                </c:pt>
                <c:pt idx="69">
                  <c:v>0</c:v>
                </c:pt>
                <c:pt idx="70">
                  <c:v>12.735240637301491</c:v>
                </c:pt>
                <c:pt idx="71">
                  <c:v>0</c:v>
                </c:pt>
                <c:pt idx="72">
                  <c:v>0</c:v>
                </c:pt>
                <c:pt idx="73">
                  <c:v>0</c:v>
                </c:pt>
                <c:pt idx="74">
                  <c:v>5.6937091679521457</c:v>
                </c:pt>
                <c:pt idx="75">
                  <c:v>5.5182309181857523</c:v>
                </c:pt>
                <c:pt idx="76">
                  <c:v>0</c:v>
                </c:pt>
                <c:pt idx="77">
                  <c:v>6.2836147735498109</c:v>
                </c:pt>
                <c:pt idx="78">
                  <c:v>5.0403327060559988</c:v>
                </c:pt>
                <c:pt idx="79">
                  <c:v>0</c:v>
                </c:pt>
                <c:pt idx="80">
                  <c:v>0</c:v>
                </c:pt>
                <c:pt idx="81">
                  <c:v>0</c:v>
                </c:pt>
                <c:pt idx="82">
                  <c:v>2.4678962360763075</c:v>
                </c:pt>
                <c:pt idx="83">
                  <c:v>0</c:v>
                </c:pt>
                <c:pt idx="84">
                  <c:v>2.7815169377864586</c:v>
                </c:pt>
                <c:pt idx="85">
                  <c:v>11.047662575718293</c:v>
                </c:pt>
                <c:pt idx="86">
                  <c:v>0</c:v>
                </c:pt>
                <c:pt idx="87">
                  <c:v>0</c:v>
                </c:pt>
                <c:pt idx="88">
                  <c:v>0</c:v>
                </c:pt>
                <c:pt idx="89">
                  <c:v>0</c:v>
                </c:pt>
                <c:pt idx="90">
                  <c:v>0</c:v>
                </c:pt>
                <c:pt idx="91">
                  <c:v>0</c:v>
                </c:pt>
                <c:pt idx="92">
                  <c:v>11.137268490492623</c:v>
                </c:pt>
                <c:pt idx="93">
                  <c:v>0</c:v>
                </c:pt>
                <c:pt idx="94">
                  <c:v>0</c:v>
                </c:pt>
                <c:pt idx="95">
                  <c:v>0</c:v>
                </c:pt>
                <c:pt idx="96">
                  <c:v>5.6825084286053551</c:v>
                </c:pt>
                <c:pt idx="97">
                  <c:v>7.2132761393334723</c:v>
                </c:pt>
                <c:pt idx="98">
                  <c:v>0</c:v>
                </c:pt>
                <c:pt idx="99">
                  <c:v>0</c:v>
                </c:pt>
                <c:pt idx="100">
                  <c:v>0</c:v>
                </c:pt>
                <c:pt idx="101">
                  <c:v>0</c:v>
                </c:pt>
                <c:pt idx="102">
                  <c:v>0</c:v>
                </c:pt>
              </c:numCache>
            </c:numRef>
          </c:val>
          <c:extLst>
            <c:ext xmlns:c16="http://schemas.microsoft.com/office/drawing/2014/chart" uri="{C3380CC4-5D6E-409C-BE32-E72D297353CC}">
              <c16:uniqueId val="{00000000-8100-48FD-9CEE-875AA06530D1}"/>
            </c:ext>
          </c:extLst>
        </c:ser>
        <c:ser>
          <c:idx val="3"/>
          <c:order val="4"/>
          <c:tx>
            <c:v>Irrigation Return Flow</c:v>
          </c:tx>
          <c:spPr>
            <a:solidFill>
              <a:srgbClr val="00B0F0"/>
            </a:solidFill>
            <a:ln w="12700">
              <a:solidFill>
                <a:srgbClr val="00B0F0"/>
              </a:solidFill>
            </a:ln>
            <a:effectLst/>
          </c:spPr>
          <c:invertIfNegative val="0"/>
          <c:cat>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cat>
          <c:val>
            <c:numRef>
              <c:f>'Fig 6'!$BA$11:$BA$113</c:f>
              <c:numCache>
                <c:formatCode>0.00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8100-48FD-9CEE-875AA06530D1}"/>
            </c:ext>
          </c:extLst>
        </c:ser>
        <c:dLbls>
          <c:showLegendKey val="0"/>
          <c:showVal val="0"/>
          <c:showCatName val="0"/>
          <c:showSerName val="0"/>
          <c:showPercent val="0"/>
          <c:showBubbleSize val="0"/>
        </c:dLbls>
        <c:gapWidth val="150"/>
        <c:axId val="238504448"/>
        <c:axId val="85835072"/>
      </c:barChart>
      <c:barChart>
        <c:barDir val="col"/>
        <c:grouping val="clustered"/>
        <c:varyColors val="0"/>
        <c:ser>
          <c:idx val="4"/>
          <c:order val="2"/>
          <c:tx>
            <c:v>Precipitation</c:v>
          </c:tx>
          <c:spPr>
            <a:solidFill>
              <a:srgbClr val="DE8400"/>
            </a:solidFill>
            <a:ln w="31750">
              <a:solidFill>
                <a:srgbClr val="DE8400"/>
              </a:solidFill>
            </a:ln>
            <a:effectLst/>
          </c:spPr>
          <c:invertIfNegative val="0"/>
          <c:cat>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cat>
          <c:val>
            <c:numRef>
              <c:f>'Fig 6'!$V$11:$V$113</c:f>
              <c:numCache>
                <c:formatCode>0.00</c:formatCode>
                <c:ptCount val="103"/>
                <c:pt idx="0">
                  <c:v>0</c:v>
                </c:pt>
                <c:pt idx="1">
                  <c:v>0</c:v>
                </c:pt>
                <c:pt idx="2">
                  <c:v>0.17600000000000002</c:v>
                </c:pt>
                <c:pt idx="3">
                  <c:v>0</c:v>
                </c:pt>
                <c:pt idx="4">
                  <c:v>0</c:v>
                </c:pt>
                <c:pt idx="5">
                  <c:v>0</c:v>
                </c:pt>
                <c:pt idx="6">
                  <c:v>0</c:v>
                </c:pt>
                <c:pt idx="7">
                  <c:v>0</c:v>
                </c:pt>
                <c:pt idx="8">
                  <c:v>0</c:v>
                </c:pt>
                <c:pt idx="9">
                  <c:v>0.67200000000000004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0.13600000000000001</c:v>
                </c:pt>
                <c:pt idx="35">
                  <c:v>8.0000000000000016E-2</c:v>
                </c:pt>
                <c:pt idx="36">
                  <c:v>0</c:v>
                </c:pt>
                <c:pt idx="37">
                  <c:v>0.15200000000000002</c:v>
                </c:pt>
                <c:pt idx="38">
                  <c:v>0.10400000000000001</c:v>
                </c:pt>
                <c:pt idx="39">
                  <c:v>0</c:v>
                </c:pt>
                <c:pt idx="40">
                  <c:v>0</c:v>
                </c:pt>
                <c:pt idx="41">
                  <c:v>0</c:v>
                </c:pt>
                <c:pt idx="42">
                  <c:v>0</c:v>
                </c:pt>
                <c:pt idx="43">
                  <c:v>0</c:v>
                </c:pt>
                <c:pt idx="44">
                  <c:v>0</c:v>
                </c:pt>
                <c:pt idx="45">
                  <c:v>0</c:v>
                </c:pt>
                <c:pt idx="46">
                  <c:v>0</c:v>
                </c:pt>
                <c:pt idx="47">
                  <c:v>8.0000000000000016E-2</c:v>
                </c:pt>
                <c:pt idx="48">
                  <c:v>0</c:v>
                </c:pt>
                <c:pt idx="49">
                  <c:v>0</c:v>
                </c:pt>
                <c:pt idx="50">
                  <c:v>0</c:v>
                </c:pt>
                <c:pt idx="51">
                  <c:v>0</c:v>
                </c:pt>
                <c:pt idx="52">
                  <c:v>0</c:v>
                </c:pt>
                <c:pt idx="53">
                  <c:v>0</c:v>
                </c:pt>
                <c:pt idx="54">
                  <c:v>0</c:v>
                </c:pt>
                <c:pt idx="55">
                  <c:v>0</c:v>
                </c:pt>
                <c:pt idx="56">
                  <c:v>4.0000000000000008E-2</c:v>
                </c:pt>
                <c:pt idx="57">
                  <c:v>0</c:v>
                </c:pt>
                <c:pt idx="58">
                  <c:v>0</c:v>
                </c:pt>
                <c:pt idx="59">
                  <c:v>0</c:v>
                </c:pt>
                <c:pt idx="60">
                  <c:v>0</c:v>
                </c:pt>
                <c:pt idx="61">
                  <c:v>0</c:v>
                </c:pt>
                <c:pt idx="62">
                  <c:v>0</c:v>
                </c:pt>
                <c:pt idx="63">
                  <c:v>0.41600000000000004</c:v>
                </c:pt>
                <c:pt idx="64">
                  <c:v>0</c:v>
                </c:pt>
                <c:pt idx="65">
                  <c:v>0</c:v>
                </c:pt>
                <c:pt idx="66">
                  <c:v>0</c:v>
                </c:pt>
                <c:pt idx="67">
                  <c:v>8.0000000000000016E-2</c:v>
                </c:pt>
                <c:pt idx="68">
                  <c:v>0</c:v>
                </c:pt>
                <c:pt idx="69">
                  <c:v>0</c:v>
                </c:pt>
                <c:pt idx="70">
                  <c:v>0</c:v>
                </c:pt>
                <c:pt idx="71">
                  <c:v>0.16000000000000003</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2-8100-48FD-9CEE-875AA06530D1}"/>
            </c:ext>
          </c:extLst>
        </c:ser>
        <c:dLbls>
          <c:showLegendKey val="0"/>
          <c:showVal val="0"/>
          <c:showCatName val="0"/>
          <c:showSerName val="0"/>
          <c:showPercent val="0"/>
          <c:showBubbleSize val="0"/>
        </c:dLbls>
        <c:gapWidth val="150"/>
        <c:axId val="250294784"/>
        <c:axId val="142279808"/>
      </c:barChart>
      <c:scatterChart>
        <c:scatterStyle val="lineMarker"/>
        <c:varyColors val="0"/>
        <c:ser>
          <c:idx val="1"/>
          <c:order val="1"/>
          <c:tx>
            <c:v>Total Available Water (TAW)</c:v>
          </c:tx>
          <c:spPr>
            <a:ln w="28575" cap="rnd">
              <a:solidFill>
                <a:schemeClr val="tx1"/>
              </a:solidFill>
              <a:prstDash val="lgDash"/>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6'!$AQ$11:$AQ$113</c:f>
              <c:numCache>
                <c:formatCode>0.00</c:formatCode>
                <c:ptCount val="103"/>
                <c:pt idx="0">
                  <c:v>12.117790513333299</c:v>
                </c:pt>
                <c:pt idx="1">
                  <c:v>12.117790513333299</c:v>
                </c:pt>
                <c:pt idx="2">
                  <c:v>12.117790513333299</c:v>
                </c:pt>
                <c:pt idx="3">
                  <c:v>12.117790513333299</c:v>
                </c:pt>
                <c:pt idx="4">
                  <c:v>12.117790513333299</c:v>
                </c:pt>
                <c:pt idx="5">
                  <c:v>18.403659150844693</c:v>
                </c:pt>
                <c:pt idx="6">
                  <c:v>24.689527788356148</c:v>
                </c:pt>
                <c:pt idx="7">
                  <c:v>30.975396425867544</c:v>
                </c:pt>
                <c:pt idx="8">
                  <c:v>37.261265063378907</c:v>
                </c:pt>
                <c:pt idx="9">
                  <c:v>43.547133700890292</c:v>
                </c:pt>
                <c:pt idx="10">
                  <c:v>49.833002338401734</c:v>
                </c:pt>
                <c:pt idx="11">
                  <c:v>56.118870975913119</c:v>
                </c:pt>
                <c:pt idx="12">
                  <c:v>62.404739613424482</c:v>
                </c:pt>
                <c:pt idx="13">
                  <c:v>68.690608250935909</c:v>
                </c:pt>
                <c:pt idx="14">
                  <c:v>74.976476888447252</c:v>
                </c:pt>
                <c:pt idx="15">
                  <c:v>81.262345525958693</c:v>
                </c:pt>
                <c:pt idx="16">
                  <c:v>87.54821416347005</c:v>
                </c:pt>
                <c:pt idx="17">
                  <c:v>93.834082800981477</c:v>
                </c:pt>
                <c:pt idx="18">
                  <c:v>100.11995143849285</c:v>
                </c:pt>
                <c:pt idx="19">
                  <c:v>106.40582007600429</c:v>
                </c:pt>
                <c:pt idx="20">
                  <c:v>112.6916887135157</c:v>
                </c:pt>
                <c:pt idx="21">
                  <c:v>118.97755735102704</c:v>
                </c:pt>
                <c:pt idx="22">
                  <c:v>125.2634259885384</c:v>
                </c:pt>
                <c:pt idx="23">
                  <c:v>131.54929462604983</c:v>
                </c:pt>
                <c:pt idx="24">
                  <c:v>137.83516326356124</c:v>
                </c:pt>
                <c:pt idx="25">
                  <c:v>144.12103190107263</c:v>
                </c:pt>
                <c:pt idx="26">
                  <c:v>150.40690053858407</c:v>
                </c:pt>
                <c:pt idx="27">
                  <c:v>156.69276917609542</c:v>
                </c:pt>
                <c:pt idx="28">
                  <c:v>159.20290729114305</c:v>
                </c:pt>
                <c:pt idx="29">
                  <c:v>161.71304540619067</c:v>
                </c:pt>
                <c:pt idx="30">
                  <c:v>164.22318352123824</c:v>
                </c:pt>
                <c:pt idx="31">
                  <c:v>166.73332163628592</c:v>
                </c:pt>
                <c:pt idx="32">
                  <c:v>169.24345975133349</c:v>
                </c:pt>
                <c:pt idx="33">
                  <c:v>171.75359786638117</c:v>
                </c:pt>
                <c:pt idx="34">
                  <c:v>174.26373598142882</c:v>
                </c:pt>
                <c:pt idx="35">
                  <c:v>176.77387409647639</c:v>
                </c:pt>
                <c:pt idx="36">
                  <c:v>179.28401221152401</c:v>
                </c:pt>
                <c:pt idx="37">
                  <c:v>181.79415032657161</c:v>
                </c:pt>
                <c:pt idx="38">
                  <c:v>184.30428844161929</c:v>
                </c:pt>
                <c:pt idx="39">
                  <c:v>186.21248</c:v>
                </c:pt>
                <c:pt idx="40">
                  <c:v>186.21248</c:v>
                </c:pt>
                <c:pt idx="41">
                  <c:v>186.21248</c:v>
                </c:pt>
                <c:pt idx="42">
                  <c:v>186.21248</c:v>
                </c:pt>
                <c:pt idx="43">
                  <c:v>186.21248</c:v>
                </c:pt>
                <c:pt idx="44">
                  <c:v>186.21248</c:v>
                </c:pt>
                <c:pt idx="45">
                  <c:v>186.21248</c:v>
                </c:pt>
                <c:pt idx="46">
                  <c:v>186.21248</c:v>
                </c:pt>
                <c:pt idx="47">
                  <c:v>186.21248</c:v>
                </c:pt>
                <c:pt idx="48">
                  <c:v>186.21248</c:v>
                </c:pt>
                <c:pt idx="49">
                  <c:v>186.21248</c:v>
                </c:pt>
                <c:pt idx="50">
                  <c:v>186.21248</c:v>
                </c:pt>
                <c:pt idx="51">
                  <c:v>186.21248</c:v>
                </c:pt>
                <c:pt idx="52">
                  <c:v>186.21248</c:v>
                </c:pt>
                <c:pt idx="53">
                  <c:v>186.21248</c:v>
                </c:pt>
                <c:pt idx="54">
                  <c:v>186.21248</c:v>
                </c:pt>
                <c:pt idx="55">
                  <c:v>186.21248</c:v>
                </c:pt>
                <c:pt idx="56">
                  <c:v>186.21248</c:v>
                </c:pt>
                <c:pt idx="57">
                  <c:v>186.21248</c:v>
                </c:pt>
                <c:pt idx="58">
                  <c:v>186.21248</c:v>
                </c:pt>
                <c:pt idx="59">
                  <c:v>186.21248</c:v>
                </c:pt>
                <c:pt idx="60">
                  <c:v>186.21248</c:v>
                </c:pt>
                <c:pt idx="61">
                  <c:v>186.21248</c:v>
                </c:pt>
                <c:pt idx="62">
                  <c:v>186.21248</c:v>
                </c:pt>
                <c:pt idx="63">
                  <c:v>186.21248</c:v>
                </c:pt>
                <c:pt idx="64">
                  <c:v>186.21248</c:v>
                </c:pt>
                <c:pt idx="65">
                  <c:v>186.21248</c:v>
                </c:pt>
                <c:pt idx="66">
                  <c:v>186.21248</c:v>
                </c:pt>
                <c:pt idx="67">
                  <c:v>186.21248</c:v>
                </c:pt>
                <c:pt idx="68">
                  <c:v>186.21248</c:v>
                </c:pt>
                <c:pt idx="69">
                  <c:v>186.21248</c:v>
                </c:pt>
                <c:pt idx="70">
                  <c:v>185.65634010813338</c:v>
                </c:pt>
                <c:pt idx="71">
                  <c:v>186.21248</c:v>
                </c:pt>
                <c:pt idx="72">
                  <c:v>186.21248</c:v>
                </c:pt>
                <c:pt idx="73">
                  <c:v>186.21248</c:v>
                </c:pt>
                <c:pt idx="74">
                  <c:v>186.21248</c:v>
                </c:pt>
                <c:pt idx="75">
                  <c:v>186.21248</c:v>
                </c:pt>
                <c:pt idx="76">
                  <c:v>186.21248</c:v>
                </c:pt>
                <c:pt idx="77">
                  <c:v>186.21248</c:v>
                </c:pt>
                <c:pt idx="78">
                  <c:v>186.21248</c:v>
                </c:pt>
                <c:pt idx="79">
                  <c:v>186.21248</c:v>
                </c:pt>
                <c:pt idx="80">
                  <c:v>186.21248</c:v>
                </c:pt>
                <c:pt idx="81">
                  <c:v>186.21248</c:v>
                </c:pt>
                <c:pt idx="82">
                  <c:v>186.21248</c:v>
                </c:pt>
                <c:pt idx="83">
                  <c:v>186.21248</c:v>
                </c:pt>
                <c:pt idx="84">
                  <c:v>186.21248</c:v>
                </c:pt>
                <c:pt idx="85">
                  <c:v>186.21248</c:v>
                </c:pt>
                <c:pt idx="86">
                  <c:v>186.21248</c:v>
                </c:pt>
                <c:pt idx="87">
                  <c:v>186.21248</c:v>
                </c:pt>
                <c:pt idx="88">
                  <c:v>186.21248</c:v>
                </c:pt>
                <c:pt idx="89">
                  <c:v>186.21248</c:v>
                </c:pt>
                <c:pt idx="90">
                  <c:v>186.21248</c:v>
                </c:pt>
                <c:pt idx="91">
                  <c:v>186.21248</c:v>
                </c:pt>
                <c:pt idx="92">
                  <c:v>186.21248</c:v>
                </c:pt>
                <c:pt idx="93">
                  <c:v>186.21248</c:v>
                </c:pt>
                <c:pt idx="94">
                  <c:v>186.21248</c:v>
                </c:pt>
                <c:pt idx="95">
                  <c:v>186.21248</c:v>
                </c:pt>
                <c:pt idx="96">
                  <c:v>186.21248</c:v>
                </c:pt>
                <c:pt idx="97">
                  <c:v>186.21248</c:v>
                </c:pt>
                <c:pt idx="98">
                  <c:v>186.21248</c:v>
                </c:pt>
                <c:pt idx="99">
                  <c:v>186.21248</c:v>
                </c:pt>
                <c:pt idx="100">
                  <c:v>186.21248</c:v>
                </c:pt>
                <c:pt idx="101">
                  <c:v>186.21248</c:v>
                </c:pt>
                <c:pt idx="102">
                  <c:v>186.21248</c:v>
                </c:pt>
              </c:numCache>
            </c:numRef>
          </c:yVal>
          <c:smooth val="0"/>
          <c:extLst>
            <c:ext xmlns:c16="http://schemas.microsoft.com/office/drawing/2014/chart" uri="{C3380CC4-5D6E-409C-BE32-E72D297353CC}">
              <c16:uniqueId val="{00000003-8100-48FD-9CEE-875AA06530D1}"/>
            </c:ext>
          </c:extLst>
        </c:ser>
        <c:dLbls>
          <c:showLegendKey val="0"/>
          <c:showVal val="0"/>
          <c:showCatName val="0"/>
          <c:showSerName val="0"/>
          <c:showPercent val="0"/>
          <c:showBubbleSize val="0"/>
        </c:dLbls>
        <c:axId val="238504448"/>
        <c:axId val="85835072"/>
      </c:scatterChart>
      <c:scatterChart>
        <c:scatterStyle val="lineMarker"/>
        <c:varyColors val="0"/>
        <c:ser>
          <c:idx val="2"/>
          <c:order val="0"/>
          <c:tx>
            <c:v>Available Water (AW)</c:v>
          </c:tx>
          <c:spPr>
            <a:ln w="28575" cap="rnd">
              <a:solidFill>
                <a:srgbClr val="FF0000"/>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6'!$AV$11:$AV$113</c:f>
              <c:numCache>
                <c:formatCode>0.00</c:formatCode>
                <c:ptCount val="103"/>
                <c:pt idx="0">
                  <c:v>0.35424886666666539</c:v>
                </c:pt>
                <c:pt idx="1">
                  <c:v>0.25683236666666542</c:v>
                </c:pt>
                <c:pt idx="2">
                  <c:v>0.36851441011714214</c:v>
                </c:pt>
                <c:pt idx="3">
                  <c:v>0.31052958360873062</c:v>
                </c:pt>
                <c:pt idx="4">
                  <c:v>0.23852608360873059</c:v>
                </c:pt>
                <c:pt idx="5">
                  <c:v>0.39944448276978683</c:v>
                </c:pt>
                <c:pt idx="6">
                  <c:v>0.54487343721034853</c:v>
                </c:pt>
                <c:pt idx="7">
                  <c:v>0.68313695560040066</c:v>
                </c:pt>
                <c:pt idx="8">
                  <c:v>0.87582416076607283</c:v>
                </c:pt>
                <c:pt idx="9">
                  <c:v>1.6808029437267353</c:v>
                </c:pt>
                <c:pt idx="10">
                  <c:v>1.8160905726501329</c:v>
                </c:pt>
                <c:pt idx="11">
                  <c:v>1.9489163658592425</c:v>
                </c:pt>
                <c:pt idx="12">
                  <c:v>2.0843721140372953</c:v>
                </c:pt>
                <c:pt idx="13">
                  <c:v>2.2174730628364689</c:v>
                </c:pt>
                <c:pt idx="14">
                  <c:v>2.3471477465256942</c:v>
                </c:pt>
                <c:pt idx="15">
                  <c:v>2.4647132971882222</c:v>
                </c:pt>
                <c:pt idx="16">
                  <c:v>2.5797099758010571</c:v>
                </c:pt>
                <c:pt idx="17">
                  <c:v>2.958192089682997</c:v>
                </c:pt>
                <c:pt idx="18">
                  <c:v>3.0565830068051492</c:v>
                </c:pt>
                <c:pt idx="19">
                  <c:v>3.1755551593310312</c:v>
                </c:pt>
                <c:pt idx="20">
                  <c:v>3.2802763497451113</c:v>
                </c:pt>
                <c:pt idx="21">
                  <c:v>3.3884837858113626</c:v>
                </c:pt>
                <c:pt idx="22">
                  <c:v>3.8328974105072477</c:v>
                </c:pt>
                <c:pt idx="23">
                  <c:v>3.9361811751449309</c:v>
                </c:pt>
                <c:pt idx="24">
                  <c:v>4.0370031040683276</c:v>
                </c:pt>
                <c:pt idx="25">
                  <c:v>4.1288799342339582</c:v>
                </c:pt>
                <c:pt idx="26">
                  <c:v>4.2247781917287845</c:v>
                </c:pt>
                <c:pt idx="27">
                  <c:v>4.3048199420807496</c:v>
                </c:pt>
                <c:pt idx="28">
                  <c:v>4.3751211044211136</c:v>
                </c:pt>
                <c:pt idx="29">
                  <c:v>4.3230640231043349</c:v>
                </c:pt>
                <c:pt idx="30">
                  <c:v>4.4915800757665458</c:v>
                </c:pt>
                <c:pt idx="31">
                  <c:v>4.4255650395760711</c:v>
                </c:pt>
                <c:pt idx="32">
                  <c:v>4.7482006481612</c:v>
                </c:pt>
                <c:pt idx="33">
                  <c:v>4.6731801619707252</c:v>
                </c:pt>
                <c:pt idx="34">
                  <c:v>4.8030564614945366</c:v>
                </c:pt>
                <c:pt idx="35">
                  <c:v>5.1650478113778693</c:v>
                </c:pt>
                <c:pt idx="36">
                  <c:v>5.1151496966159655</c:v>
                </c:pt>
                <c:pt idx="37">
                  <c:v>5.2947263889969172</c:v>
                </c:pt>
                <c:pt idx="38">
                  <c:v>5.3470330742350143</c:v>
                </c:pt>
                <c:pt idx="39">
                  <c:v>5.2989427870132859</c:v>
                </c:pt>
                <c:pt idx="40">
                  <c:v>5.1213323809534721</c:v>
                </c:pt>
                <c:pt idx="41">
                  <c:v>4.9554966309534727</c:v>
                </c:pt>
                <c:pt idx="42">
                  <c:v>4.9206531804811968</c:v>
                </c:pt>
                <c:pt idx="43">
                  <c:v>4.7548174304811965</c:v>
                </c:pt>
                <c:pt idx="44">
                  <c:v>4.9103507768608399</c:v>
                </c:pt>
                <c:pt idx="45">
                  <c:v>4.7733560268608404</c:v>
                </c:pt>
                <c:pt idx="46">
                  <c:v>4.6796227768608398</c:v>
                </c:pt>
                <c:pt idx="47">
                  <c:v>4.6658895268608394</c:v>
                </c:pt>
                <c:pt idx="48">
                  <c:v>4.5144742768608399</c:v>
                </c:pt>
                <c:pt idx="49">
                  <c:v>4.4017125101313468</c:v>
                </c:pt>
                <c:pt idx="50">
                  <c:v>4.5394117355664019</c:v>
                </c:pt>
                <c:pt idx="51">
                  <c:v>4.3778912140459738</c:v>
                </c:pt>
                <c:pt idx="52">
                  <c:v>4.6108880525015499</c:v>
                </c:pt>
                <c:pt idx="53">
                  <c:v>4.5145641319794034</c:v>
                </c:pt>
                <c:pt idx="54">
                  <c:v>4.5394388377743891</c:v>
                </c:pt>
                <c:pt idx="55">
                  <c:v>4.362274263923994</c:v>
                </c:pt>
                <c:pt idx="56">
                  <c:v>4.3001241319003345</c:v>
                </c:pt>
                <c:pt idx="57">
                  <c:v>4.5700905826135934</c:v>
                </c:pt>
                <c:pt idx="58">
                  <c:v>4.8496972884474783</c:v>
                </c:pt>
                <c:pt idx="59">
                  <c:v>4.7195881064694927</c:v>
                </c:pt>
                <c:pt idx="60">
                  <c:v>4.8503885352599347</c:v>
                </c:pt>
                <c:pt idx="61">
                  <c:v>4.6917630352599344</c:v>
                </c:pt>
                <c:pt idx="62">
                  <c:v>4.5259272852599342</c:v>
                </c:pt>
                <c:pt idx="63">
                  <c:v>4.9065998358801313</c:v>
                </c:pt>
                <c:pt idx="64">
                  <c:v>4.7623948358801309</c:v>
                </c:pt>
                <c:pt idx="65">
                  <c:v>4.6470308358801304</c:v>
                </c:pt>
                <c:pt idx="66">
                  <c:v>4.495615585880131</c:v>
                </c:pt>
                <c:pt idx="67">
                  <c:v>4.9149143188153719</c:v>
                </c:pt>
                <c:pt idx="68">
                  <c:v>4.8067605688153723</c:v>
                </c:pt>
                <c:pt idx="69">
                  <c:v>4.6697658188153728</c:v>
                </c:pt>
                <c:pt idx="70">
                  <c:v>5.0126379041474545</c:v>
                </c:pt>
                <c:pt idx="71">
                  <c:v>5.0442115821474518</c:v>
                </c:pt>
                <c:pt idx="72">
                  <c:v>4.9230727743696736</c:v>
                </c:pt>
                <c:pt idx="73">
                  <c:v>4.7741102543696741</c:v>
                </c:pt>
                <c:pt idx="74">
                  <c:v>4.8499890493021738</c:v>
                </c:pt>
                <c:pt idx="75">
                  <c:v>4.9266675239464064</c:v>
                </c:pt>
                <c:pt idx="76">
                  <c:v>4.8007327439464067</c:v>
                </c:pt>
                <c:pt idx="77">
                  <c:v>4.8949107612427678</c:v>
                </c:pt>
                <c:pt idx="78">
                  <c:v>4.9564402907437124</c:v>
                </c:pt>
                <c:pt idx="79">
                  <c:v>4.8353568319201825</c:v>
                </c:pt>
                <c:pt idx="80">
                  <c:v>4.7166067036848887</c:v>
                </c:pt>
                <c:pt idx="81">
                  <c:v>4.5872547062992677</c:v>
                </c:pt>
                <c:pt idx="82">
                  <c:v>4.564813258609778</c:v>
                </c:pt>
                <c:pt idx="83">
                  <c:v>4.4605018338815707</c:v>
                </c:pt>
                <c:pt idx="84">
                  <c:v>4.4584697086208216</c:v>
                </c:pt>
                <c:pt idx="85">
                  <c:v>4.7785619892877058</c:v>
                </c:pt>
                <c:pt idx="86">
                  <c:v>4.7261869169347648</c:v>
                </c:pt>
                <c:pt idx="87">
                  <c:v>4.6237701028171179</c:v>
                </c:pt>
                <c:pt idx="88">
                  <c:v>4.5236866192877061</c:v>
                </c:pt>
                <c:pt idx="89">
                  <c:v>4.4226275170657949</c:v>
                </c:pt>
                <c:pt idx="90">
                  <c:v>4.3160326025530136</c:v>
                </c:pt>
                <c:pt idx="91">
                  <c:v>4.2290481236881776</c:v>
                </c:pt>
                <c:pt idx="92">
                  <c:v>4.584428352363453</c:v>
                </c:pt>
                <c:pt idx="93">
                  <c:v>4.4576616016349897</c:v>
                </c:pt>
                <c:pt idx="94">
                  <c:v>4.3376530377608891</c:v>
                </c:pt>
                <c:pt idx="95">
                  <c:v>4.2327800540005533</c:v>
                </c:pt>
                <c:pt idx="96">
                  <c:v>4.3818861713561743</c:v>
                </c:pt>
                <c:pt idx="97">
                  <c:v>4.607517230596927</c:v>
                </c:pt>
                <c:pt idx="98">
                  <c:v>4.5394593817411941</c:v>
                </c:pt>
                <c:pt idx="99">
                  <c:v>4.4744453257924945</c:v>
                </c:pt>
                <c:pt idx="100">
                  <c:v>4.4084921109424666</c:v>
                </c:pt>
                <c:pt idx="101">
                  <c:v>4.3493131551405817</c:v>
                </c:pt>
                <c:pt idx="102">
                  <c:v>4.2928817285073952</c:v>
                </c:pt>
              </c:numCache>
            </c:numRef>
          </c:yVal>
          <c:smooth val="0"/>
          <c:extLst>
            <c:ext xmlns:c16="http://schemas.microsoft.com/office/drawing/2014/chart" uri="{C3380CC4-5D6E-409C-BE32-E72D297353CC}">
              <c16:uniqueId val="{00000004-8100-48FD-9CEE-875AA06530D1}"/>
            </c:ext>
          </c:extLst>
        </c:ser>
        <c:ser>
          <c:idx val="6"/>
          <c:order val="5"/>
          <c:tx>
            <c:v>Management Allowed Deficit (MAD)</c:v>
          </c:tx>
          <c:spPr>
            <a:ln w="41275" cap="rnd">
              <a:solidFill>
                <a:schemeClr val="bg1">
                  <a:lumMod val="50000"/>
                </a:schemeClr>
              </a:solidFill>
              <a:prstDash val="dash"/>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6'!$AS$11:$AS$113</c:f>
              <c:numCache>
                <c:formatCode>0.00</c:formatCode>
                <c:ptCount val="103"/>
                <c:pt idx="0">
                  <c:v>0.30055937099999919</c:v>
                </c:pt>
                <c:pt idx="1">
                  <c:v>0.30055937099999919</c:v>
                </c:pt>
                <c:pt idx="2">
                  <c:v>0.30055937099999919</c:v>
                </c:pt>
                <c:pt idx="3">
                  <c:v>0.30055937099999919</c:v>
                </c:pt>
                <c:pt idx="4">
                  <c:v>0.30055937099999919</c:v>
                </c:pt>
                <c:pt idx="5">
                  <c:v>0.45646871122173849</c:v>
                </c:pt>
                <c:pt idx="6">
                  <c:v>0.61237805144347934</c:v>
                </c:pt>
                <c:pt idx="7">
                  <c:v>0.76828739166521864</c:v>
                </c:pt>
                <c:pt idx="8">
                  <c:v>0.92419673188695717</c:v>
                </c:pt>
                <c:pt idx="9">
                  <c:v>1.0801060721086961</c:v>
                </c:pt>
                <c:pt idx="10">
                  <c:v>1.2360154123304368</c:v>
                </c:pt>
                <c:pt idx="11">
                  <c:v>1.3919247525521758</c:v>
                </c:pt>
                <c:pt idx="12">
                  <c:v>1.5478340927739143</c:v>
                </c:pt>
                <c:pt idx="13">
                  <c:v>1.7037434329956544</c:v>
                </c:pt>
                <c:pt idx="14">
                  <c:v>1.8596527732173926</c:v>
                </c:pt>
                <c:pt idx="15">
                  <c:v>2.0155621134391328</c:v>
                </c:pt>
                <c:pt idx="16">
                  <c:v>2.171471453660871</c:v>
                </c:pt>
                <c:pt idx="17">
                  <c:v>2.3273807938826114</c:v>
                </c:pt>
                <c:pt idx="18">
                  <c:v>2.4832901341043501</c:v>
                </c:pt>
                <c:pt idx="19">
                  <c:v>2.6391994743260909</c:v>
                </c:pt>
                <c:pt idx="20">
                  <c:v>2.7951088145478304</c:v>
                </c:pt>
                <c:pt idx="21">
                  <c:v>2.9510181547695686</c:v>
                </c:pt>
                <c:pt idx="22">
                  <c:v>3.1069274949913068</c:v>
                </c:pt>
                <c:pt idx="23">
                  <c:v>3.2628368352130472</c:v>
                </c:pt>
                <c:pt idx="24">
                  <c:v>3.4187461754347872</c:v>
                </c:pt>
                <c:pt idx="25">
                  <c:v>3.5746555156565258</c:v>
                </c:pt>
                <c:pt idx="26">
                  <c:v>3.7305648558782663</c:v>
                </c:pt>
                <c:pt idx="27">
                  <c:v>3.8864741961000044</c:v>
                </c:pt>
                <c:pt idx="28">
                  <c:v>3.9487335273000053</c:v>
                </c:pt>
                <c:pt idx="29">
                  <c:v>4.0109928585000052</c:v>
                </c:pt>
                <c:pt idx="30">
                  <c:v>4.0732521897000042</c:v>
                </c:pt>
                <c:pt idx="31">
                  <c:v>4.1355115209000051</c:v>
                </c:pt>
                <c:pt idx="32">
                  <c:v>4.197770852100005</c:v>
                </c:pt>
                <c:pt idx="33">
                  <c:v>4.2600301833000058</c:v>
                </c:pt>
                <c:pt idx="34">
                  <c:v>4.3222895145000066</c:v>
                </c:pt>
                <c:pt idx="35">
                  <c:v>4.3845488457000048</c:v>
                </c:pt>
                <c:pt idx="36">
                  <c:v>4.4468081769000056</c:v>
                </c:pt>
                <c:pt idx="37">
                  <c:v>4.5090675081000047</c:v>
                </c:pt>
                <c:pt idx="38">
                  <c:v>4.5713268393000064</c:v>
                </c:pt>
                <c:pt idx="39">
                  <c:v>4.6186559999999997</c:v>
                </c:pt>
                <c:pt idx="40">
                  <c:v>4.6186559999999997</c:v>
                </c:pt>
                <c:pt idx="41">
                  <c:v>4.6186559999999997</c:v>
                </c:pt>
                <c:pt idx="42">
                  <c:v>4.6186559999999997</c:v>
                </c:pt>
                <c:pt idx="43">
                  <c:v>4.6186559999999997</c:v>
                </c:pt>
                <c:pt idx="44">
                  <c:v>4.6186559999999997</c:v>
                </c:pt>
                <c:pt idx="45">
                  <c:v>4.6186559999999997</c:v>
                </c:pt>
                <c:pt idx="46">
                  <c:v>4.6186559999999997</c:v>
                </c:pt>
                <c:pt idx="47">
                  <c:v>4.6186559999999997</c:v>
                </c:pt>
                <c:pt idx="48">
                  <c:v>4.6186559999999997</c:v>
                </c:pt>
                <c:pt idx="49">
                  <c:v>4.6186559999999997</c:v>
                </c:pt>
                <c:pt idx="50">
                  <c:v>4.6186559999999997</c:v>
                </c:pt>
                <c:pt idx="51">
                  <c:v>4.6186559999999997</c:v>
                </c:pt>
                <c:pt idx="52">
                  <c:v>4.6186559999999997</c:v>
                </c:pt>
                <c:pt idx="53">
                  <c:v>4.6186559999999997</c:v>
                </c:pt>
                <c:pt idx="54">
                  <c:v>4.6186559999999997</c:v>
                </c:pt>
                <c:pt idx="55">
                  <c:v>4.6186559999999997</c:v>
                </c:pt>
                <c:pt idx="56">
                  <c:v>4.6186559999999997</c:v>
                </c:pt>
                <c:pt idx="57">
                  <c:v>4.6186559999999997</c:v>
                </c:pt>
                <c:pt idx="58">
                  <c:v>4.6186559999999997</c:v>
                </c:pt>
                <c:pt idx="59">
                  <c:v>4.6186559999999997</c:v>
                </c:pt>
                <c:pt idx="60">
                  <c:v>4.6186559999999997</c:v>
                </c:pt>
                <c:pt idx="61">
                  <c:v>4.6186559999999997</c:v>
                </c:pt>
                <c:pt idx="62">
                  <c:v>4.6186559999999997</c:v>
                </c:pt>
                <c:pt idx="63">
                  <c:v>4.6186559999999997</c:v>
                </c:pt>
                <c:pt idx="64">
                  <c:v>4.6186559999999997</c:v>
                </c:pt>
                <c:pt idx="65">
                  <c:v>4.6186559999999997</c:v>
                </c:pt>
                <c:pt idx="66">
                  <c:v>4.6186559999999997</c:v>
                </c:pt>
                <c:pt idx="67">
                  <c:v>4.6186559999999997</c:v>
                </c:pt>
                <c:pt idx="68">
                  <c:v>4.6186559999999997</c:v>
                </c:pt>
                <c:pt idx="69">
                  <c:v>4.6186559999999997</c:v>
                </c:pt>
                <c:pt idx="70">
                  <c:v>4.6048619790600016</c:v>
                </c:pt>
                <c:pt idx="71">
                  <c:v>4.6186559999999997</c:v>
                </c:pt>
                <c:pt idx="72">
                  <c:v>4.6186559999999997</c:v>
                </c:pt>
                <c:pt idx="73">
                  <c:v>4.6186559999999997</c:v>
                </c:pt>
                <c:pt idx="74">
                  <c:v>4.6186559999999997</c:v>
                </c:pt>
                <c:pt idx="75">
                  <c:v>4.6186559999999997</c:v>
                </c:pt>
                <c:pt idx="76">
                  <c:v>4.6186559999999997</c:v>
                </c:pt>
                <c:pt idx="77">
                  <c:v>4.6186559999999997</c:v>
                </c:pt>
                <c:pt idx="78">
                  <c:v>4.6186559999999997</c:v>
                </c:pt>
                <c:pt idx="79">
                  <c:v>4.6186559999999997</c:v>
                </c:pt>
                <c:pt idx="80">
                  <c:v>4.6186559999999997</c:v>
                </c:pt>
                <c:pt idx="81">
                  <c:v>4.6186559999999997</c:v>
                </c:pt>
                <c:pt idx="82">
                  <c:v>4.6186559999999997</c:v>
                </c:pt>
                <c:pt idx="83">
                  <c:v>4.6186559999999997</c:v>
                </c:pt>
                <c:pt idx="84">
                  <c:v>4.6186559999999997</c:v>
                </c:pt>
                <c:pt idx="85">
                  <c:v>4.6186559999999997</c:v>
                </c:pt>
                <c:pt idx="86">
                  <c:v>4.6186559999999997</c:v>
                </c:pt>
                <c:pt idx="87">
                  <c:v>4.6186559999999997</c:v>
                </c:pt>
                <c:pt idx="88">
                  <c:v>4.6186559999999997</c:v>
                </c:pt>
                <c:pt idx="89">
                  <c:v>4.6186559999999997</c:v>
                </c:pt>
                <c:pt idx="90">
                  <c:v>4.6186559999999997</c:v>
                </c:pt>
                <c:pt idx="91">
                  <c:v>4.6186559999999997</c:v>
                </c:pt>
                <c:pt idx="92">
                  <c:v>4.6186559999999997</c:v>
                </c:pt>
                <c:pt idx="93">
                  <c:v>4.6186559999999997</c:v>
                </c:pt>
                <c:pt idx="94">
                  <c:v>4.6186559999999997</c:v>
                </c:pt>
                <c:pt idx="95">
                  <c:v>4.6186559999999997</c:v>
                </c:pt>
                <c:pt idx="96">
                  <c:v>4.6186559999999997</c:v>
                </c:pt>
                <c:pt idx="97">
                  <c:v>4.6186559999999997</c:v>
                </c:pt>
                <c:pt idx="98">
                  <c:v>4.6186559999999997</c:v>
                </c:pt>
                <c:pt idx="99">
                  <c:v>4.6186559999999997</c:v>
                </c:pt>
                <c:pt idx="100">
                  <c:v>4.6186559999999997</c:v>
                </c:pt>
                <c:pt idx="101">
                  <c:v>4.6186559999999997</c:v>
                </c:pt>
                <c:pt idx="102">
                  <c:v>4.6186559999999997</c:v>
                </c:pt>
              </c:numCache>
            </c:numRef>
          </c:yVal>
          <c:smooth val="0"/>
          <c:extLst>
            <c:ext xmlns:c16="http://schemas.microsoft.com/office/drawing/2014/chart" uri="{C3380CC4-5D6E-409C-BE32-E72D297353CC}">
              <c16:uniqueId val="{00000005-8100-48FD-9CEE-875AA06530D1}"/>
            </c:ext>
          </c:extLst>
        </c:ser>
        <c:dLbls>
          <c:showLegendKey val="0"/>
          <c:showVal val="0"/>
          <c:showCatName val="0"/>
          <c:showSerName val="0"/>
          <c:showPercent val="0"/>
          <c:showBubbleSize val="0"/>
        </c:dLbls>
        <c:axId val="250294784"/>
        <c:axId val="142279808"/>
      </c:scatterChart>
      <c:dateAx>
        <c:axId val="2385044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85835072"/>
        <c:crosses val="autoZero"/>
        <c:auto val="0"/>
        <c:lblOffset val="100"/>
        <c:baseTimeUnit val="days"/>
      </c:dateAx>
      <c:valAx>
        <c:axId val="85835072"/>
        <c:scaling>
          <c:orientation val="minMax"/>
          <c:max val="2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Depth (mm)</a:t>
                </a:r>
              </a:p>
            </c:rich>
          </c:tx>
          <c:layout>
            <c:manualLayout>
              <c:xMode val="edge"/>
              <c:yMode val="edge"/>
              <c:x val="5.9378590132790786E-3"/>
              <c:y val="0.36436241648137929"/>
            </c:manualLayout>
          </c:layout>
          <c:overlay val="0"/>
          <c:spPr>
            <a:noFill/>
            <a:ln>
              <a:noFill/>
            </a:ln>
            <a:effectLst/>
          </c:sp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238504448"/>
        <c:crosses val="autoZero"/>
        <c:crossBetween val="between"/>
        <c:majorUnit val="20"/>
      </c:valAx>
      <c:valAx>
        <c:axId val="142279808"/>
        <c:scaling>
          <c:orientation val="minMax"/>
          <c:max val="7.87"/>
          <c:min val="0"/>
        </c:scaling>
        <c:delete val="0"/>
        <c:axPos val="r"/>
        <c:title>
          <c:tx>
            <c:rich>
              <a:bodyPr rot="-5400000" vert="horz"/>
              <a:lstStyle/>
              <a:p>
                <a:pPr>
                  <a:defRPr sz="1400" b="0">
                    <a:latin typeface="Times New Roman" panose="02020603050405020304" pitchFamily="18" charset="0"/>
                    <a:cs typeface="Times New Roman" panose="02020603050405020304" pitchFamily="18" charset="0"/>
                  </a:defRPr>
                </a:pPr>
                <a:r>
                  <a:rPr lang="en-US" sz="1400" b="0">
                    <a:latin typeface="Times New Roman" panose="02020603050405020304" pitchFamily="18" charset="0"/>
                    <a:cs typeface="Times New Roman" panose="02020603050405020304" pitchFamily="18" charset="0"/>
                  </a:rPr>
                  <a:t>Depth (inches)</a:t>
                </a:r>
              </a:p>
            </c:rich>
          </c:tx>
          <c:overlay val="0"/>
        </c:title>
        <c:numFmt formatCode="#,##0.0" sourceLinked="0"/>
        <c:majorTickMark val="in"/>
        <c:minorTickMark val="none"/>
        <c:tickLblPos val="nextTo"/>
        <c:txPr>
          <a:bodyPr/>
          <a:lstStyle/>
          <a:p>
            <a:pPr>
              <a:defRPr sz="1400">
                <a:latin typeface="Times New Roman" panose="02020603050405020304" pitchFamily="18" charset="0"/>
                <a:cs typeface="Times New Roman" panose="02020603050405020304" pitchFamily="18" charset="0"/>
              </a:defRPr>
            </a:pPr>
            <a:endParaRPr lang="en-US"/>
          </a:p>
        </c:txPr>
        <c:crossAx val="250294784"/>
        <c:crosses val="max"/>
        <c:crossBetween val="between"/>
        <c:majorUnit val="0.5"/>
      </c:valAx>
      <c:dateAx>
        <c:axId val="250294784"/>
        <c:scaling>
          <c:orientation val="minMax"/>
        </c:scaling>
        <c:delete val="1"/>
        <c:axPos val="b"/>
        <c:numFmt formatCode="m/d/yy;@" sourceLinked="1"/>
        <c:majorTickMark val="out"/>
        <c:minorTickMark val="none"/>
        <c:tickLblPos val="nextTo"/>
        <c:crossAx val="142279808"/>
        <c:crosses val="autoZero"/>
        <c:auto val="0"/>
        <c:lblOffset val="100"/>
        <c:baseTimeUnit val="days"/>
      </c:dateAx>
      <c:spPr>
        <a:noFill/>
        <a:ln w="12700">
          <a:solidFill>
            <a:schemeClr val="bg1">
              <a:lumMod val="75000"/>
            </a:schemeClr>
          </a:solidFill>
        </a:ln>
        <a:effectLst/>
      </c:spPr>
    </c:plotArea>
    <c:legend>
      <c:legendPos val="b"/>
      <c:layout>
        <c:manualLayout>
          <c:xMode val="edge"/>
          <c:yMode val="edge"/>
          <c:x val="0.1523968985487702"/>
          <c:y val="0.87184792947043332"/>
          <c:w val="0.69917686419681813"/>
          <c:h val="0.1153604157551376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800" b="0">
                <a:solidFill>
                  <a:schemeClr val="tx1"/>
                </a:solidFill>
                <a:latin typeface="Times New Roman" panose="02020603050405020304" pitchFamily="18" charset="0"/>
                <a:cs typeface="Times New Roman" panose="02020603050405020304" pitchFamily="18" charset="0"/>
              </a:rPr>
              <a:t>Field L - Cumulative Seasonal</a:t>
            </a:r>
            <a:r>
              <a:rPr lang="en-US" sz="1800" b="0" baseline="0">
                <a:solidFill>
                  <a:schemeClr val="tx1"/>
                </a:solidFill>
                <a:latin typeface="Times New Roman" panose="02020603050405020304" pitchFamily="18" charset="0"/>
                <a:cs typeface="Times New Roman" panose="02020603050405020304" pitchFamily="18" charset="0"/>
              </a:rPr>
              <a:t> Water Balance</a:t>
            </a:r>
            <a:endParaRPr lang="en-US" sz="1800" b="0">
              <a:solidFill>
                <a:schemeClr val="tx1"/>
              </a:solidFill>
              <a:latin typeface="Times New Roman" panose="02020603050405020304" pitchFamily="18" charset="0"/>
              <a:cs typeface="Times New Roman" panose="02020603050405020304" pitchFamily="18" charset="0"/>
            </a:endParaRPr>
          </a:p>
        </c:rich>
      </c:tx>
      <c:layout>
        <c:manualLayout>
          <c:xMode val="edge"/>
          <c:yMode val="edge"/>
          <c:x val="0.26826099758333261"/>
          <c:y val="1.7479380697438866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6.6118788913190021E-2"/>
          <c:y val="9.4671390354999635E-2"/>
          <c:w val="0.88500992492985175"/>
          <c:h val="0.72236585736529768"/>
        </c:manualLayout>
      </c:layout>
      <c:scatterChart>
        <c:scatterStyle val="lineMarker"/>
        <c:varyColors val="0"/>
        <c:ser>
          <c:idx val="0"/>
          <c:order val="0"/>
          <c:tx>
            <c:v>Total Irrigation</c:v>
          </c:tx>
          <c:spPr>
            <a:ln w="31750" cap="rnd">
              <a:solidFill>
                <a:srgbClr val="17F517"/>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6'!$T$11:$T$113</c:f>
              <c:numCache>
                <c:formatCode>0.00</c:formatCode>
                <c:ptCount val="103"/>
                <c:pt idx="0">
                  <c:v>0</c:v>
                </c:pt>
                <c:pt idx="1">
                  <c:v>0</c:v>
                </c:pt>
                <c:pt idx="2">
                  <c:v>2.6164456741847995E-2</c:v>
                </c:pt>
                <c:pt idx="3">
                  <c:v>4.8654130233436441E-2</c:v>
                </c:pt>
                <c:pt idx="4">
                  <c:v>4.8654130233436441E-2</c:v>
                </c:pt>
                <c:pt idx="5">
                  <c:v>4.8948112893457206E-2</c:v>
                </c:pt>
                <c:pt idx="6">
                  <c:v>4.9242095553477978E-2</c:v>
                </c:pt>
                <c:pt idx="7">
                  <c:v>4.9389086883488351E-2</c:v>
                </c:pt>
                <c:pt idx="8">
                  <c:v>0.10186499169719472</c:v>
                </c:pt>
                <c:pt idx="9">
                  <c:v>0.10186499169719472</c:v>
                </c:pt>
                <c:pt idx="10">
                  <c:v>0.10186499169719472</c:v>
                </c:pt>
                <c:pt idx="11">
                  <c:v>0.10186499169719472</c:v>
                </c:pt>
                <c:pt idx="12">
                  <c:v>0.10186499169719472</c:v>
                </c:pt>
                <c:pt idx="13">
                  <c:v>0.10186499169719472</c:v>
                </c:pt>
                <c:pt idx="14">
                  <c:v>0.1167111160282433</c:v>
                </c:pt>
                <c:pt idx="15">
                  <c:v>0.1167111160282433</c:v>
                </c:pt>
                <c:pt idx="16">
                  <c:v>0.1167111160282433</c:v>
                </c:pt>
                <c:pt idx="17">
                  <c:v>0.38276542334703473</c:v>
                </c:pt>
                <c:pt idx="18">
                  <c:v>0.38276542334703473</c:v>
                </c:pt>
                <c:pt idx="19">
                  <c:v>0.38276542334703473</c:v>
                </c:pt>
                <c:pt idx="20">
                  <c:v>0.38276542334703473</c:v>
                </c:pt>
                <c:pt idx="21">
                  <c:v>0.38276542334703473</c:v>
                </c:pt>
                <c:pt idx="22">
                  <c:v>0.72143344769095474</c:v>
                </c:pt>
                <c:pt idx="23">
                  <c:v>0.72143344769095474</c:v>
                </c:pt>
                <c:pt idx="24">
                  <c:v>0.72143344769095474</c:v>
                </c:pt>
                <c:pt idx="25">
                  <c:v>0.72143344769095474</c:v>
                </c:pt>
                <c:pt idx="26">
                  <c:v>0.72143344769095474</c:v>
                </c:pt>
                <c:pt idx="27">
                  <c:v>0.72143344769095474</c:v>
                </c:pt>
                <c:pt idx="28">
                  <c:v>0.8748923962217936</c:v>
                </c:pt>
                <c:pt idx="29">
                  <c:v>0.88679869395263466</c:v>
                </c:pt>
                <c:pt idx="30">
                  <c:v>1.1271295185196091</c:v>
                </c:pt>
                <c:pt idx="31">
                  <c:v>1.1271295185196091</c:v>
                </c:pt>
                <c:pt idx="32">
                  <c:v>1.5098949418666439</c:v>
                </c:pt>
                <c:pt idx="33">
                  <c:v>1.5098949418666439</c:v>
                </c:pt>
                <c:pt idx="34">
                  <c:v>1.5098949418666439</c:v>
                </c:pt>
                <c:pt idx="35">
                  <c:v>1.8268082493690276</c:v>
                </c:pt>
                <c:pt idx="36">
                  <c:v>1.8268082493690276</c:v>
                </c:pt>
                <c:pt idx="37">
                  <c:v>1.8268082493690276</c:v>
                </c:pt>
                <c:pt idx="38">
                  <c:v>1.8268082493690276</c:v>
                </c:pt>
                <c:pt idx="39">
                  <c:v>1.8766383102425472</c:v>
                </c:pt>
                <c:pt idx="40">
                  <c:v>1.8792841541827341</c:v>
                </c:pt>
                <c:pt idx="41">
                  <c:v>1.8792841541827341</c:v>
                </c:pt>
                <c:pt idx="42">
                  <c:v>1.9886457037104583</c:v>
                </c:pt>
                <c:pt idx="43">
                  <c:v>1.9886457037104583</c:v>
                </c:pt>
                <c:pt idx="44">
                  <c:v>2.2667533000901008</c:v>
                </c:pt>
                <c:pt idx="45">
                  <c:v>2.2667533000901008</c:v>
                </c:pt>
                <c:pt idx="46">
                  <c:v>2.2667533000901008</c:v>
                </c:pt>
                <c:pt idx="47">
                  <c:v>2.2667533000901008</c:v>
                </c:pt>
                <c:pt idx="48">
                  <c:v>2.2667533000901008</c:v>
                </c:pt>
                <c:pt idx="49">
                  <c:v>2.2667533000901008</c:v>
                </c:pt>
                <c:pt idx="50">
                  <c:v>2.5350124773590479</c:v>
                </c:pt>
                <c:pt idx="51">
                  <c:v>2.5364823906591516</c:v>
                </c:pt>
                <c:pt idx="52">
                  <c:v>2.919835779326228</c:v>
                </c:pt>
                <c:pt idx="53">
                  <c:v>2.9890686957611177</c:v>
                </c:pt>
                <c:pt idx="54">
                  <c:v>3.1760416675343239</c:v>
                </c:pt>
                <c:pt idx="55">
                  <c:v>3.1760416675343239</c:v>
                </c:pt>
                <c:pt idx="56">
                  <c:v>3.1760416675343239</c:v>
                </c:pt>
                <c:pt idx="57">
                  <c:v>3.5802678250628746</c:v>
                </c:pt>
                <c:pt idx="58">
                  <c:v>4.0168320751937081</c:v>
                </c:pt>
                <c:pt idx="59">
                  <c:v>4.0453483932157237</c:v>
                </c:pt>
                <c:pt idx="60">
                  <c:v>4.3347743220061652</c:v>
                </c:pt>
                <c:pt idx="61">
                  <c:v>4.3347743220061652</c:v>
                </c:pt>
                <c:pt idx="62">
                  <c:v>4.3347743220061652</c:v>
                </c:pt>
                <c:pt idx="63">
                  <c:v>4.3347743220061652</c:v>
                </c:pt>
                <c:pt idx="64">
                  <c:v>4.3347743220061652</c:v>
                </c:pt>
                <c:pt idx="65">
                  <c:v>4.3347743220061652</c:v>
                </c:pt>
                <c:pt idx="66">
                  <c:v>4.3347743220061652</c:v>
                </c:pt>
                <c:pt idx="67">
                  <c:v>4.7372365835745907</c:v>
                </c:pt>
                <c:pt idx="68">
                  <c:v>4.7372365835745907</c:v>
                </c:pt>
                <c:pt idx="69">
                  <c:v>4.7372365835745907</c:v>
                </c:pt>
                <c:pt idx="70">
                  <c:v>5.2386240102400041</c:v>
                </c:pt>
                <c:pt idx="71">
                  <c:v>5.2386240102400041</c:v>
                </c:pt>
                <c:pt idx="72">
                  <c:v>5.2386240102400041</c:v>
                </c:pt>
                <c:pt idx="73">
                  <c:v>5.2386240102400041</c:v>
                </c:pt>
                <c:pt idx="74">
                  <c:v>5.4627857885058368</c:v>
                </c:pt>
                <c:pt idx="75">
                  <c:v>5.6800389742611808</c:v>
                </c:pt>
                <c:pt idx="76">
                  <c:v>5.6800389742611808</c:v>
                </c:pt>
                <c:pt idx="77">
                  <c:v>5.9274253826686536</c:v>
                </c:pt>
                <c:pt idx="78">
                  <c:v>6.125863678182669</c:v>
                </c:pt>
                <c:pt idx="79">
                  <c:v>6.125863678182669</c:v>
                </c:pt>
                <c:pt idx="80">
                  <c:v>6.125863678182669</c:v>
                </c:pt>
                <c:pt idx="81">
                  <c:v>6.125863678182669</c:v>
                </c:pt>
                <c:pt idx="82">
                  <c:v>6.2230249473195318</c:v>
                </c:pt>
                <c:pt idx="83">
                  <c:v>6.2230249473195318</c:v>
                </c:pt>
                <c:pt idx="84">
                  <c:v>6.3325334881772672</c:v>
                </c:pt>
                <c:pt idx="85">
                  <c:v>6.767480833677987</c:v>
                </c:pt>
                <c:pt idx="86">
                  <c:v>6.767480833677987</c:v>
                </c:pt>
                <c:pt idx="87">
                  <c:v>6.767480833677987</c:v>
                </c:pt>
                <c:pt idx="88">
                  <c:v>6.767480833677987</c:v>
                </c:pt>
                <c:pt idx="89">
                  <c:v>6.767480833677987</c:v>
                </c:pt>
                <c:pt idx="90">
                  <c:v>6.767480833677987</c:v>
                </c:pt>
                <c:pt idx="91">
                  <c:v>6.767480833677987</c:v>
                </c:pt>
                <c:pt idx="92">
                  <c:v>7.2059559710989571</c:v>
                </c:pt>
                <c:pt idx="93">
                  <c:v>7.2059559710989571</c:v>
                </c:pt>
                <c:pt idx="94">
                  <c:v>7.2059559710989571</c:v>
                </c:pt>
                <c:pt idx="95">
                  <c:v>7.2059559710989571</c:v>
                </c:pt>
                <c:pt idx="96">
                  <c:v>7.429676775374757</c:v>
                </c:pt>
                <c:pt idx="97">
                  <c:v>7.7136640249548165</c:v>
                </c:pt>
                <c:pt idx="98">
                  <c:v>7.7136640249548165</c:v>
                </c:pt>
                <c:pt idx="99">
                  <c:v>7.7136640249548165</c:v>
                </c:pt>
                <c:pt idx="100">
                  <c:v>7.7136640249548165</c:v>
                </c:pt>
                <c:pt idx="101">
                  <c:v>7.7136640249548165</c:v>
                </c:pt>
                <c:pt idx="102">
                  <c:v>7.7136640249548165</c:v>
                </c:pt>
              </c:numCache>
            </c:numRef>
          </c:yVal>
          <c:smooth val="0"/>
          <c:extLst>
            <c:ext xmlns:c16="http://schemas.microsoft.com/office/drawing/2014/chart" uri="{C3380CC4-5D6E-409C-BE32-E72D297353CC}">
              <c16:uniqueId val="{00000000-870B-4F0C-BDC9-7B38AAEEDB78}"/>
            </c:ext>
          </c:extLst>
        </c:ser>
        <c:ser>
          <c:idx val="1"/>
          <c:order val="1"/>
          <c:tx>
            <c:v>Total ET</c:v>
          </c:tx>
          <c:spPr>
            <a:ln w="31750" cap="rnd">
              <a:solidFill>
                <a:srgbClr val="7030A0"/>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6'!$AL$11:$AL$113</c:f>
              <c:numCache>
                <c:formatCode>0.00</c:formatCode>
                <c:ptCount val="103"/>
                <c:pt idx="0">
                  <c:v>0.12282949999999997</c:v>
                </c:pt>
                <c:pt idx="1">
                  <c:v>0.22024599999999994</c:v>
                </c:pt>
                <c:pt idx="2">
                  <c:v>0.31072841329137124</c:v>
                </c:pt>
                <c:pt idx="3">
                  <c:v>0.39120291329137125</c:v>
                </c:pt>
                <c:pt idx="4">
                  <c:v>0.46320641329137124</c:v>
                </c:pt>
                <c:pt idx="5">
                  <c:v>0.55005713999944583</c:v>
                </c:pt>
                <c:pt idx="6">
                  <c:v>0.65239731142801727</c:v>
                </c:pt>
                <c:pt idx="7">
                  <c:v>0.76175592757708555</c:v>
                </c:pt>
                <c:pt idx="8">
                  <c:v>0.8690197704342284</c:v>
                </c:pt>
                <c:pt idx="9">
                  <c:v>0.98351613068267563</c:v>
                </c:pt>
                <c:pt idx="10">
                  <c:v>1.0957036449683899</c:v>
                </c:pt>
                <c:pt idx="11">
                  <c:v>1.21035299496839</c:v>
                </c:pt>
                <c:pt idx="12">
                  <c:v>1.322372389999446</c:v>
                </c:pt>
                <c:pt idx="13">
                  <c:v>1.4367465844093839</c:v>
                </c:pt>
                <c:pt idx="14">
                  <c:v>1.5693931682603155</c:v>
                </c:pt>
                <c:pt idx="15">
                  <c:v>1.6993027608068993</c:v>
                </c:pt>
                <c:pt idx="16">
                  <c:v>1.8317812254031727</c:v>
                </c:pt>
                <c:pt idx="17">
                  <c:v>1.9668285620491355</c:v>
                </c:pt>
                <c:pt idx="18">
                  <c:v>2.1159127881360922</c:v>
                </c:pt>
                <c:pt idx="19">
                  <c:v>2.244415778819322</c:v>
                </c:pt>
                <c:pt idx="20">
                  <c:v>2.3871697316143532</c:v>
                </c:pt>
                <c:pt idx="21">
                  <c:v>2.5264374387572106</c:v>
                </c:pt>
                <c:pt idx="22">
                  <c:v>2.6681669816143536</c:v>
                </c:pt>
                <c:pt idx="23">
                  <c:v>2.8123583601857822</c:v>
                </c:pt>
                <c:pt idx="24">
                  <c:v>2.9590115744714964</c:v>
                </c:pt>
                <c:pt idx="25">
                  <c:v>3.1146098875149746</c:v>
                </c:pt>
                <c:pt idx="26">
                  <c:v>3.2661867732292604</c:v>
                </c:pt>
                <c:pt idx="27">
                  <c:v>3.4336201660864032</c:v>
                </c:pt>
                <c:pt idx="28">
                  <c:v>3.6156022875149749</c:v>
                </c:pt>
                <c:pt idx="29">
                  <c:v>3.7783900018006893</c:v>
                </c:pt>
                <c:pt idx="30">
                  <c:v>3.9490291089435465</c:v>
                </c:pt>
                <c:pt idx="31">
                  <c:v>4.1138684803721182</c:v>
                </c:pt>
                <c:pt idx="32">
                  <c:v>4.2728226303721186</c:v>
                </c:pt>
                <c:pt idx="33">
                  <c:v>4.4466674518006899</c:v>
                </c:pt>
                <c:pt idx="34">
                  <c:v>4.5516154875149759</c:v>
                </c:pt>
                <c:pt idx="35">
                  <c:v>4.6853617803721193</c:v>
                </c:pt>
                <c:pt idx="36">
                  <c:v>4.8340842303721194</c:v>
                </c:pt>
                <c:pt idx="37">
                  <c:v>4.9053318732292626</c:v>
                </c:pt>
                <c:pt idx="38">
                  <c:v>5.0558495232292628</c:v>
                </c:pt>
                <c:pt idx="39">
                  <c:v>5.2288955232292631</c:v>
                </c:pt>
                <c:pt idx="40">
                  <c:v>5.4091517732292633</c:v>
                </c:pt>
                <c:pt idx="41">
                  <c:v>5.5749875232292636</c:v>
                </c:pt>
                <c:pt idx="42">
                  <c:v>5.719192523229264</c:v>
                </c:pt>
                <c:pt idx="43">
                  <c:v>5.8850282732292643</c:v>
                </c:pt>
                <c:pt idx="44">
                  <c:v>6.0076025232292647</c:v>
                </c:pt>
                <c:pt idx="45">
                  <c:v>6.1445972732292651</c:v>
                </c:pt>
                <c:pt idx="46">
                  <c:v>6.2383305232292647</c:v>
                </c:pt>
                <c:pt idx="47">
                  <c:v>6.3320637732292644</c:v>
                </c:pt>
                <c:pt idx="48">
                  <c:v>6.4834790232292647</c:v>
                </c:pt>
                <c:pt idx="49">
                  <c:v>6.5962407899587578</c:v>
                </c:pt>
                <c:pt idx="50">
                  <c:v>6.7268007417926503</c:v>
                </c:pt>
                <c:pt idx="51">
                  <c:v>6.8897911766131816</c:v>
                </c:pt>
                <c:pt idx="52">
                  <c:v>7.0401477268246824</c:v>
                </c:pt>
                <c:pt idx="53">
                  <c:v>7.2057045637817181</c:v>
                </c:pt>
                <c:pt idx="54">
                  <c:v>7.3678028297599383</c:v>
                </c:pt>
                <c:pt idx="55">
                  <c:v>7.5449674036103334</c:v>
                </c:pt>
                <c:pt idx="56">
                  <c:v>7.6471175356339938</c:v>
                </c:pt>
                <c:pt idx="57">
                  <c:v>7.7813772424492855</c:v>
                </c:pt>
                <c:pt idx="58">
                  <c:v>7.9383347867462355</c:v>
                </c:pt>
                <c:pt idx="59">
                  <c:v>8.0969602867462349</c:v>
                </c:pt>
                <c:pt idx="60">
                  <c:v>8.2555857867462343</c:v>
                </c:pt>
                <c:pt idx="61">
                  <c:v>8.4142112867462338</c:v>
                </c:pt>
                <c:pt idx="62">
                  <c:v>8.5800470367462331</c:v>
                </c:pt>
                <c:pt idx="63">
                  <c:v>8.6153744861260364</c:v>
                </c:pt>
                <c:pt idx="64">
                  <c:v>8.7595794861260359</c:v>
                </c:pt>
                <c:pt idx="65">
                  <c:v>8.8749434861260355</c:v>
                </c:pt>
                <c:pt idx="66">
                  <c:v>9.0263587361260349</c:v>
                </c:pt>
                <c:pt idx="67">
                  <c:v>9.0895222647592195</c:v>
                </c:pt>
                <c:pt idx="68">
                  <c:v>9.1976760147592191</c:v>
                </c:pt>
                <c:pt idx="69">
                  <c:v>9.3346707647592186</c:v>
                </c:pt>
                <c:pt idx="70">
                  <c:v>9.471290834759218</c:v>
                </c:pt>
                <c:pt idx="71">
                  <c:v>9.6216124280925506</c:v>
                </c:pt>
                <c:pt idx="72">
                  <c:v>9.7427512358703279</c:v>
                </c:pt>
                <c:pt idx="73">
                  <c:v>9.8917137558703274</c:v>
                </c:pt>
                <c:pt idx="74">
                  <c:v>10.03999673920366</c:v>
                </c:pt>
                <c:pt idx="75">
                  <c:v>10.180571450314771</c:v>
                </c:pt>
                <c:pt idx="76">
                  <c:v>10.306506230314771</c:v>
                </c:pt>
                <c:pt idx="77">
                  <c:v>10.459714621425881</c:v>
                </c:pt>
                <c:pt idx="78">
                  <c:v>10.596623387438953</c:v>
                </c:pt>
                <c:pt idx="79">
                  <c:v>10.717706846262482</c:v>
                </c:pt>
                <c:pt idx="80">
                  <c:v>10.836456974497777</c:v>
                </c:pt>
                <c:pt idx="81">
                  <c:v>10.965808971883398</c:v>
                </c:pt>
                <c:pt idx="82">
                  <c:v>11.085411688709749</c:v>
                </c:pt>
                <c:pt idx="83">
                  <c:v>11.189723113437957</c:v>
                </c:pt>
                <c:pt idx="84">
                  <c:v>11.301263779556439</c:v>
                </c:pt>
                <c:pt idx="85">
                  <c:v>11.416118844390276</c:v>
                </c:pt>
                <c:pt idx="86">
                  <c:v>11.468493916743217</c:v>
                </c:pt>
                <c:pt idx="87">
                  <c:v>11.570910730860865</c:v>
                </c:pt>
                <c:pt idx="88">
                  <c:v>11.670994214390277</c:v>
                </c:pt>
                <c:pt idx="89">
                  <c:v>11.772053316612189</c:v>
                </c:pt>
                <c:pt idx="90">
                  <c:v>11.87864823112497</c:v>
                </c:pt>
                <c:pt idx="91">
                  <c:v>11.965632709989805</c:v>
                </c:pt>
                <c:pt idx="92">
                  <c:v>12.0487276187355</c:v>
                </c:pt>
                <c:pt idx="93">
                  <c:v>12.175494369463962</c:v>
                </c:pt>
                <c:pt idx="94">
                  <c:v>12.295502933338064</c:v>
                </c:pt>
                <c:pt idx="95">
                  <c:v>12.400375917098399</c:v>
                </c:pt>
                <c:pt idx="96">
                  <c:v>12.474990604018579</c:v>
                </c:pt>
                <c:pt idx="97">
                  <c:v>12.533346794357884</c:v>
                </c:pt>
                <c:pt idx="98">
                  <c:v>12.601404643213616</c:v>
                </c:pt>
                <c:pt idx="99">
                  <c:v>12.666418699162316</c:v>
                </c:pt>
                <c:pt idx="100">
                  <c:v>12.732371914012344</c:v>
                </c:pt>
                <c:pt idx="101">
                  <c:v>12.791550869814229</c:v>
                </c:pt>
                <c:pt idx="102">
                  <c:v>12.847982296447414</c:v>
                </c:pt>
              </c:numCache>
            </c:numRef>
          </c:yVal>
          <c:smooth val="0"/>
          <c:extLst>
            <c:ext xmlns:c16="http://schemas.microsoft.com/office/drawing/2014/chart" uri="{C3380CC4-5D6E-409C-BE32-E72D297353CC}">
              <c16:uniqueId val="{00000001-870B-4F0C-BDC9-7B38AAEEDB78}"/>
            </c:ext>
          </c:extLst>
        </c:ser>
        <c:ser>
          <c:idx val="3"/>
          <c:order val="2"/>
          <c:tx>
            <c:v>Total Irrigation + Precipitation</c:v>
          </c:tx>
          <c:spPr>
            <a:ln w="31750" cap="rnd">
              <a:solidFill>
                <a:srgbClr val="E632EA"/>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6'!$BE$11:$BE$113</c:f>
              <c:numCache>
                <c:formatCode>0.00</c:formatCode>
                <c:ptCount val="103"/>
                <c:pt idx="0">
                  <c:v>0</c:v>
                </c:pt>
                <c:pt idx="1">
                  <c:v>0</c:v>
                </c:pt>
                <c:pt idx="2">
                  <c:v>0.20216445674184802</c:v>
                </c:pt>
                <c:pt idx="3">
                  <c:v>0.22465413023343647</c:v>
                </c:pt>
                <c:pt idx="4">
                  <c:v>0.22465413023343647</c:v>
                </c:pt>
                <c:pt idx="5">
                  <c:v>0.22494811289345723</c:v>
                </c:pt>
                <c:pt idx="6">
                  <c:v>0.22524209555347799</c:v>
                </c:pt>
                <c:pt idx="7">
                  <c:v>0.22538908688348838</c:v>
                </c:pt>
                <c:pt idx="8">
                  <c:v>0.27786499169719475</c:v>
                </c:pt>
                <c:pt idx="9">
                  <c:v>0.94986499169719485</c:v>
                </c:pt>
                <c:pt idx="10">
                  <c:v>0.94986499169719485</c:v>
                </c:pt>
                <c:pt idx="11">
                  <c:v>0.94986499169719485</c:v>
                </c:pt>
                <c:pt idx="12">
                  <c:v>0.94986499169719485</c:v>
                </c:pt>
                <c:pt idx="13">
                  <c:v>0.94986499169719485</c:v>
                </c:pt>
                <c:pt idx="14">
                  <c:v>0.96471111602824344</c:v>
                </c:pt>
                <c:pt idx="15">
                  <c:v>0.96471111602824344</c:v>
                </c:pt>
                <c:pt idx="16">
                  <c:v>0.96471111602824344</c:v>
                </c:pt>
                <c:pt idx="17">
                  <c:v>1.2307654233470349</c:v>
                </c:pt>
                <c:pt idx="18">
                  <c:v>1.2307654233470349</c:v>
                </c:pt>
                <c:pt idx="19">
                  <c:v>1.2307654233470349</c:v>
                </c:pt>
                <c:pt idx="20">
                  <c:v>1.2307654233470349</c:v>
                </c:pt>
                <c:pt idx="21">
                  <c:v>1.2307654233470349</c:v>
                </c:pt>
                <c:pt idx="22">
                  <c:v>1.5694334476909551</c:v>
                </c:pt>
                <c:pt idx="23">
                  <c:v>1.5694334476909551</c:v>
                </c:pt>
                <c:pt idx="24">
                  <c:v>1.5694334476909551</c:v>
                </c:pt>
                <c:pt idx="25">
                  <c:v>1.5694334476909551</c:v>
                </c:pt>
                <c:pt idx="26">
                  <c:v>1.5694334476909551</c:v>
                </c:pt>
                <c:pt idx="27">
                  <c:v>1.5694334476909551</c:v>
                </c:pt>
                <c:pt idx="28">
                  <c:v>1.7228923962217939</c:v>
                </c:pt>
                <c:pt idx="29">
                  <c:v>1.7347986939526348</c:v>
                </c:pt>
                <c:pt idx="30">
                  <c:v>1.9751295185196094</c:v>
                </c:pt>
                <c:pt idx="31">
                  <c:v>1.9751295185196094</c:v>
                </c:pt>
                <c:pt idx="32">
                  <c:v>2.3578949418666442</c:v>
                </c:pt>
                <c:pt idx="33">
                  <c:v>2.3578949418666442</c:v>
                </c:pt>
                <c:pt idx="34">
                  <c:v>2.4938949418666443</c:v>
                </c:pt>
                <c:pt idx="35">
                  <c:v>2.8908082493690279</c:v>
                </c:pt>
                <c:pt idx="36">
                  <c:v>2.8908082493690279</c:v>
                </c:pt>
                <c:pt idx="37">
                  <c:v>3.0428082493690281</c:v>
                </c:pt>
                <c:pt idx="38">
                  <c:v>3.1468082493690281</c:v>
                </c:pt>
                <c:pt idx="39">
                  <c:v>3.1966383102425477</c:v>
                </c:pt>
                <c:pt idx="40">
                  <c:v>3.1992841541827346</c:v>
                </c:pt>
                <c:pt idx="41">
                  <c:v>3.1992841541827346</c:v>
                </c:pt>
                <c:pt idx="42">
                  <c:v>3.3086457037104586</c:v>
                </c:pt>
                <c:pt idx="43">
                  <c:v>3.3086457037104586</c:v>
                </c:pt>
                <c:pt idx="44">
                  <c:v>3.5867533000901015</c:v>
                </c:pt>
                <c:pt idx="45">
                  <c:v>3.5867533000901015</c:v>
                </c:pt>
                <c:pt idx="46">
                  <c:v>3.5867533000901015</c:v>
                </c:pt>
                <c:pt idx="47">
                  <c:v>3.6667533000901016</c:v>
                </c:pt>
                <c:pt idx="48">
                  <c:v>3.6667533000901016</c:v>
                </c:pt>
                <c:pt idx="49">
                  <c:v>3.6667533000901016</c:v>
                </c:pt>
                <c:pt idx="50">
                  <c:v>3.9350124773590487</c:v>
                </c:pt>
                <c:pt idx="51">
                  <c:v>3.9364823906591524</c:v>
                </c:pt>
                <c:pt idx="52">
                  <c:v>4.3198357793262288</c:v>
                </c:pt>
                <c:pt idx="53">
                  <c:v>4.3890686957611189</c:v>
                </c:pt>
                <c:pt idx="54">
                  <c:v>4.5760416675343247</c:v>
                </c:pt>
                <c:pt idx="55">
                  <c:v>4.5760416675343247</c:v>
                </c:pt>
                <c:pt idx="56">
                  <c:v>4.6160416675343248</c:v>
                </c:pt>
                <c:pt idx="57">
                  <c:v>5.0202678250628754</c:v>
                </c:pt>
                <c:pt idx="58">
                  <c:v>5.4568320751937103</c:v>
                </c:pt>
                <c:pt idx="59">
                  <c:v>5.4853483932157241</c:v>
                </c:pt>
                <c:pt idx="60">
                  <c:v>5.7747743220061665</c:v>
                </c:pt>
                <c:pt idx="61">
                  <c:v>5.7747743220061665</c:v>
                </c:pt>
                <c:pt idx="62">
                  <c:v>5.7747743220061665</c:v>
                </c:pt>
                <c:pt idx="63">
                  <c:v>6.1907743220061668</c:v>
                </c:pt>
                <c:pt idx="64">
                  <c:v>6.1907743220061668</c:v>
                </c:pt>
                <c:pt idx="65">
                  <c:v>6.1907743220061668</c:v>
                </c:pt>
                <c:pt idx="66">
                  <c:v>6.1907743220061668</c:v>
                </c:pt>
                <c:pt idx="67">
                  <c:v>6.6732365835745924</c:v>
                </c:pt>
                <c:pt idx="68">
                  <c:v>6.6732365835745924</c:v>
                </c:pt>
                <c:pt idx="69">
                  <c:v>6.6732365835745924</c:v>
                </c:pt>
                <c:pt idx="70">
                  <c:v>7.1746240102400058</c:v>
                </c:pt>
                <c:pt idx="71">
                  <c:v>7.334624010240006</c:v>
                </c:pt>
                <c:pt idx="72">
                  <c:v>7.334624010240006</c:v>
                </c:pt>
                <c:pt idx="73">
                  <c:v>7.334624010240006</c:v>
                </c:pt>
                <c:pt idx="74">
                  <c:v>7.5587857885058387</c:v>
                </c:pt>
                <c:pt idx="75">
                  <c:v>7.7760389742611835</c:v>
                </c:pt>
                <c:pt idx="76">
                  <c:v>7.7760389742611835</c:v>
                </c:pt>
                <c:pt idx="77">
                  <c:v>8.0234253826686572</c:v>
                </c:pt>
                <c:pt idx="78">
                  <c:v>8.2218636781826735</c:v>
                </c:pt>
                <c:pt idx="79">
                  <c:v>8.2218636781826735</c:v>
                </c:pt>
                <c:pt idx="80">
                  <c:v>8.2218636781826735</c:v>
                </c:pt>
                <c:pt idx="81">
                  <c:v>8.2218636781826735</c:v>
                </c:pt>
                <c:pt idx="82">
                  <c:v>8.3190249473195355</c:v>
                </c:pt>
                <c:pt idx="83">
                  <c:v>8.3190249473195355</c:v>
                </c:pt>
                <c:pt idx="84">
                  <c:v>8.4285334881772709</c:v>
                </c:pt>
                <c:pt idx="85">
                  <c:v>8.8634808336779916</c:v>
                </c:pt>
                <c:pt idx="86">
                  <c:v>8.8634808336779916</c:v>
                </c:pt>
                <c:pt idx="87">
                  <c:v>8.8634808336779916</c:v>
                </c:pt>
                <c:pt idx="88">
                  <c:v>8.8634808336779916</c:v>
                </c:pt>
                <c:pt idx="89">
                  <c:v>8.8634808336779916</c:v>
                </c:pt>
                <c:pt idx="90">
                  <c:v>8.8634808336779916</c:v>
                </c:pt>
                <c:pt idx="91">
                  <c:v>8.8634808336779916</c:v>
                </c:pt>
                <c:pt idx="92">
                  <c:v>9.3019559710989608</c:v>
                </c:pt>
                <c:pt idx="93">
                  <c:v>9.3019559710989608</c:v>
                </c:pt>
                <c:pt idx="94">
                  <c:v>9.3019559710989608</c:v>
                </c:pt>
                <c:pt idx="95">
                  <c:v>9.3019559710989608</c:v>
                </c:pt>
                <c:pt idx="96">
                  <c:v>9.5256767753747624</c:v>
                </c:pt>
                <c:pt idx="97">
                  <c:v>9.8096640249548201</c:v>
                </c:pt>
                <c:pt idx="98">
                  <c:v>9.8096640249548201</c:v>
                </c:pt>
                <c:pt idx="99">
                  <c:v>9.8096640249548201</c:v>
                </c:pt>
                <c:pt idx="100">
                  <c:v>9.8096640249548201</c:v>
                </c:pt>
                <c:pt idx="101">
                  <c:v>9.8096640249548201</c:v>
                </c:pt>
                <c:pt idx="102">
                  <c:v>9.8096640249548201</c:v>
                </c:pt>
              </c:numCache>
            </c:numRef>
          </c:yVal>
          <c:smooth val="0"/>
          <c:extLst>
            <c:ext xmlns:c16="http://schemas.microsoft.com/office/drawing/2014/chart" uri="{C3380CC4-5D6E-409C-BE32-E72D297353CC}">
              <c16:uniqueId val="{00000002-870B-4F0C-BDC9-7B38AAEEDB78}"/>
            </c:ext>
          </c:extLst>
        </c:ser>
        <c:ser>
          <c:idx val="5"/>
          <c:order val="3"/>
          <c:tx>
            <c:v>Total Irrigation Return Flow</c:v>
          </c:tx>
          <c:spPr>
            <a:ln w="31750" cap="rnd">
              <a:solidFill>
                <a:srgbClr val="00B0F0"/>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6'!$BB$11:$BB$113</c:f>
              <c:numCache>
                <c:formatCode>0.00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yVal>
          <c:smooth val="0"/>
          <c:extLst>
            <c:ext xmlns:c16="http://schemas.microsoft.com/office/drawing/2014/chart" uri="{C3380CC4-5D6E-409C-BE32-E72D297353CC}">
              <c16:uniqueId val="{00000003-870B-4F0C-BDC9-7B38AAEEDB78}"/>
            </c:ext>
          </c:extLst>
        </c:ser>
        <c:dLbls>
          <c:showLegendKey val="0"/>
          <c:showVal val="0"/>
          <c:showCatName val="0"/>
          <c:showSerName val="0"/>
          <c:showPercent val="0"/>
          <c:showBubbleSize val="0"/>
        </c:dLbls>
        <c:axId val="142282112"/>
        <c:axId val="142282688"/>
      </c:scatterChart>
      <c:valAx>
        <c:axId val="142282112"/>
        <c:scaling>
          <c:orientation val="minMax"/>
          <c:max val="42260"/>
          <c:min val="42156"/>
        </c:scaling>
        <c:delete val="0"/>
        <c:axPos val="b"/>
        <c:majorGridlines>
          <c:spPr>
            <a:ln w="9525" cap="flat" cmpd="sng" algn="ctr">
              <a:solidFill>
                <a:schemeClr val="bg1">
                  <a:lumMod val="7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42282688"/>
        <c:crossesAt val="0"/>
        <c:crossBetween val="midCat"/>
        <c:majorUnit val="7"/>
      </c:valAx>
      <c:valAx>
        <c:axId val="142282688"/>
        <c:scaling>
          <c:orientation val="minMax"/>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Depth (inches)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42282112"/>
        <c:crosses val="autoZero"/>
        <c:crossBetween val="midCat"/>
        <c:majorUnit val="1"/>
        <c:minorUnit val="1"/>
      </c:valAx>
      <c:spPr>
        <a:noFill/>
        <a:ln w="12700">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Available Water, Available Water, and </a:t>
            </a:r>
            <a:r>
              <a:rPr lang="en-US" b="1" baseline="0"/>
              <a:t>Management Allowed Depletion</a:t>
            </a:r>
            <a:endParaRPr lang="en-US" b="1"/>
          </a:p>
        </c:rich>
      </c:tx>
      <c:layout>
        <c:manualLayout>
          <c:xMode val="edge"/>
          <c:yMode val="edge"/>
          <c:x val="0.16680530798177856"/>
          <c:y val="2.82548443585730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554785827519592E-2"/>
          <c:y val="0.10404803175221564"/>
          <c:w val="0.84489202324641066"/>
          <c:h val="0.78519075357128376"/>
        </c:manualLayout>
      </c:layout>
      <c:scatterChart>
        <c:scatterStyle val="lineMarker"/>
        <c:varyColors val="0"/>
        <c:ser>
          <c:idx val="2"/>
          <c:order val="0"/>
          <c:tx>
            <c:v>Available Water</c:v>
          </c:tx>
          <c:spPr>
            <a:ln w="19050" cap="rnd">
              <a:solidFill>
                <a:schemeClr val="bg1">
                  <a:lumMod val="50000"/>
                </a:schemeClr>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6'!$AV$11:$AV$113</c:f>
              <c:numCache>
                <c:formatCode>0.00</c:formatCode>
                <c:ptCount val="103"/>
                <c:pt idx="0">
                  <c:v>0.35424886666666539</c:v>
                </c:pt>
                <c:pt idx="1">
                  <c:v>0.25683236666666542</c:v>
                </c:pt>
                <c:pt idx="2">
                  <c:v>0.36851441011714214</c:v>
                </c:pt>
                <c:pt idx="3">
                  <c:v>0.31052958360873062</c:v>
                </c:pt>
                <c:pt idx="4">
                  <c:v>0.23852608360873059</c:v>
                </c:pt>
                <c:pt idx="5">
                  <c:v>0.39944448276978683</c:v>
                </c:pt>
                <c:pt idx="6">
                  <c:v>0.54487343721034853</c:v>
                </c:pt>
                <c:pt idx="7">
                  <c:v>0.68313695560040066</c:v>
                </c:pt>
                <c:pt idx="8">
                  <c:v>0.87582416076607283</c:v>
                </c:pt>
                <c:pt idx="9">
                  <c:v>1.6808029437267353</c:v>
                </c:pt>
                <c:pt idx="10">
                  <c:v>1.8160905726501329</c:v>
                </c:pt>
                <c:pt idx="11">
                  <c:v>1.9489163658592425</c:v>
                </c:pt>
                <c:pt idx="12">
                  <c:v>2.0843721140372953</c:v>
                </c:pt>
                <c:pt idx="13">
                  <c:v>2.2174730628364689</c:v>
                </c:pt>
                <c:pt idx="14">
                  <c:v>2.3471477465256942</c:v>
                </c:pt>
                <c:pt idx="15">
                  <c:v>2.4647132971882222</c:v>
                </c:pt>
                <c:pt idx="16">
                  <c:v>2.5797099758010571</c:v>
                </c:pt>
                <c:pt idx="17">
                  <c:v>2.958192089682997</c:v>
                </c:pt>
                <c:pt idx="18">
                  <c:v>3.0565830068051492</c:v>
                </c:pt>
                <c:pt idx="19">
                  <c:v>3.1755551593310312</c:v>
                </c:pt>
                <c:pt idx="20">
                  <c:v>3.2802763497451113</c:v>
                </c:pt>
                <c:pt idx="21">
                  <c:v>3.3884837858113626</c:v>
                </c:pt>
                <c:pt idx="22">
                  <c:v>3.8328974105072477</c:v>
                </c:pt>
                <c:pt idx="23">
                  <c:v>3.9361811751449309</c:v>
                </c:pt>
                <c:pt idx="24">
                  <c:v>4.0370031040683276</c:v>
                </c:pt>
                <c:pt idx="25">
                  <c:v>4.1288799342339582</c:v>
                </c:pt>
                <c:pt idx="26">
                  <c:v>4.2247781917287845</c:v>
                </c:pt>
                <c:pt idx="27">
                  <c:v>4.3048199420807496</c:v>
                </c:pt>
                <c:pt idx="28">
                  <c:v>4.3751211044211136</c:v>
                </c:pt>
                <c:pt idx="29">
                  <c:v>4.3230640231043349</c:v>
                </c:pt>
                <c:pt idx="30">
                  <c:v>4.4915800757665458</c:v>
                </c:pt>
                <c:pt idx="31">
                  <c:v>4.4255650395760711</c:v>
                </c:pt>
                <c:pt idx="32">
                  <c:v>4.7482006481612</c:v>
                </c:pt>
                <c:pt idx="33">
                  <c:v>4.6731801619707252</c:v>
                </c:pt>
                <c:pt idx="34">
                  <c:v>4.8030564614945366</c:v>
                </c:pt>
                <c:pt idx="35">
                  <c:v>5.1650478113778693</c:v>
                </c:pt>
                <c:pt idx="36">
                  <c:v>5.1151496966159655</c:v>
                </c:pt>
                <c:pt idx="37">
                  <c:v>5.2947263889969172</c:v>
                </c:pt>
                <c:pt idx="38">
                  <c:v>5.3470330742350143</c:v>
                </c:pt>
                <c:pt idx="39">
                  <c:v>5.2989427870132859</c:v>
                </c:pt>
                <c:pt idx="40">
                  <c:v>5.1213323809534721</c:v>
                </c:pt>
                <c:pt idx="41">
                  <c:v>4.9554966309534727</c:v>
                </c:pt>
                <c:pt idx="42">
                  <c:v>4.9206531804811968</c:v>
                </c:pt>
                <c:pt idx="43">
                  <c:v>4.7548174304811965</c:v>
                </c:pt>
                <c:pt idx="44">
                  <c:v>4.9103507768608399</c:v>
                </c:pt>
                <c:pt idx="45">
                  <c:v>4.7733560268608404</c:v>
                </c:pt>
                <c:pt idx="46">
                  <c:v>4.6796227768608398</c:v>
                </c:pt>
                <c:pt idx="47">
                  <c:v>4.6658895268608394</c:v>
                </c:pt>
                <c:pt idx="48">
                  <c:v>4.5144742768608399</c:v>
                </c:pt>
                <c:pt idx="49">
                  <c:v>4.4017125101313468</c:v>
                </c:pt>
                <c:pt idx="50">
                  <c:v>4.5394117355664019</c:v>
                </c:pt>
                <c:pt idx="51">
                  <c:v>4.3778912140459738</c:v>
                </c:pt>
                <c:pt idx="52">
                  <c:v>4.6108880525015499</c:v>
                </c:pt>
                <c:pt idx="53">
                  <c:v>4.5145641319794034</c:v>
                </c:pt>
                <c:pt idx="54">
                  <c:v>4.5394388377743891</c:v>
                </c:pt>
                <c:pt idx="55">
                  <c:v>4.362274263923994</c:v>
                </c:pt>
                <c:pt idx="56">
                  <c:v>4.3001241319003345</c:v>
                </c:pt>
                <c:pt idx="57">
                  <c:v>4.5700905826135934</c:v>
                </c:pt>
                <c:pt idx="58">
                  <c:v>4.8496972884474783</c:v>
                </c:pt>
                <c:pt idx="59">
                  <c:v>4.7195881064694927</c:v>
                </c:pt>
                <c:pt idx="60">
                  <c:v>4.8503885352599347</c:v>
                </c:pt>
                <c:pt idx="61">
                  <c:v>4.6917630352599344</c:v>
                </c:pt>
                <c:pt idx="62">
                  <c:v>4.5259272852599342</c:v>
                </c:pt>
                <c:pt idx="63">
                  <c:v>4.9065998358801313</c:v>
                </c:pt>
                <c:pt idx="64">
                  <c:v>4.7623948358801309</c:v>
                </c:pt>
                <c:pt idx="65">
                  <c:v>4.6470308358801304</c:v>
                </c:pt>
                <c:pt idx="66">
                  <c:v>4.495615585880131</c:v>
                </c:pt>
                <c:pt idx="67">
                  <c:v>4.9149143188153719</c:v>
                </c:pt>
                <c:pt idx="68">
                  <c:v>4.8067605688153723</c:v>
                </c:pt>
                <c:pt idx="69">
                  <c:v>4.6697658188153728</c:v>
                </c:pt>
                <c:pt idx="70">
                  <c:v>5.0126379041474545</c:v>
                </c:pt>
                <c:pt idx="71">
                  <c:v>5.0442115821474518</c:v>
                </c:pt>
                <c:pt idx="72">
                  <c:v>4.9230727743696736</c:v>
                </c:pt>
                <c:pt idx="73">
                  <c:v>4.7741102543696741</c:v>
                </c:pt>
                <c:pt idx="74">
                  <c:v>4.8499890493021738</c:v>
                </c:pt>
                <c:pt idx="75">
                  <c:v>4.9266675239464064</c:v>
                </c:pt>
                <c:pt idx="76">
                  <c:v>4.8007327439464067</c:v>
                </c:pt>
                <c:pt idx="77">
                  <c:v>4.8949107612427678</c:v>
                </c:pt>
                <c:pt idx="78">
                  <c:v>4.9564402907437124</c:v>
                </c:pt>
                <c:pt idx="79">
                  <c:v>4.8353568319201825</c:v>
                </c:pt>
                <c:pt idx="80">
                  <c:v>4.7166067036848887</c:v>
                </c:pt>
                <c:pt idx="81">
                  <c:v>4.5872547062992677</c:v>
                </c:pt>
                <c:pt idx="82">
                  <c:v>4.564813258609778</c:v>
                </c:pt>
                <c:pt idx="83">
                  <c:v>4.4605018338815707</c:v>
                </c:pt>
                <c:pt idx="84">
                  <c:v>4.4584697086208216</c:v>
                </c:pt>
                <c:pt idx="85">
                  <c:v>4.7785619892877058</c:v>
                </c:pt>
                <c:pt idx="86">
                  <c:v>4.7261869169347648</c:v>
                </c:pt>
                <c:pt idx="87">
                  <c:v>4.6237701028171179</c:v>
                </c:pt>
                <c:pt idx="88">
                  <c:v>4.5236866192877061</c:v>
                </c:pt>
                <c:pt idx="89">
                  <c:v>4.4226275170657949</c:v>
                </c:pt>
                <c:pt idx="90">
                  <c:v>4.3160326025530136</c:v>
                </c:pt>
                <c:pt idx="91">
                  <c:v>4.2290481236881776</c:v>
                </c:pt>
                <c:pt idx="92">
                  <c:v>4.584428352363453</c:v>
                </c:pt>
                <c:pt idx="93">
                  <c:v>4.4576616016349897</c:v>
                </c:pt>
                <c:pt idx="94">
                  <c:v>4.3376530377608891</c:v>
                </c:pt>
                <c:pt idx="95">
                  <c:v>4.2327800540005533</c:v>
                </c:pt>
                <c:pt idx="96">
                  <c:v>4.3818861713561743</c:v>
                </c:pt>
                <c:pt idx="97">
                  <c:v>4.607517230596927</c:v>
                </c:pt>
                <c:pt idx="98">
                  <c:v>4.5394593817411941</c:v>
                </c:pt>
                <c:pt idx="99">
                  <c:v>4.4744453257924945</c:v>
                </c:pt>
                <c:pt idx="100">
                  <c:v>4.4084921109424666</c:v>
                </c:pt>
                <c:pt idx="101">
                  <c:v>4.3493131551405817</c:v>
                </c:pt>
                <c:pt idx="102">
                  <c:v>4.2928817285073952</c:v>
                </c:pt>
              </c:numCache>
            </c:numRef>
          </c:yVal>
          <c:smooth val="0"/>
          <c:extLst>
            <c:ext xmlns:c16="http://schemas.microsoft.com/office/drawing/2014/chart" uri="{C3380CC4-5D6E-409C-BE32-E72D297353CC}">
              <c16:uniqueId val="{00000000-2560-4F56-88EA-74423DFC4331}"/>
            </c:ext>
          </c:extLst>
        </c:ser>
        <c:ser>
          <c:idx val="1"/>
          <c:order val="1"/>
          <c:tx>
            <c:v>Total Available Water</c:v>
          </c:tx>
          <c:spPr>
            <a:ln w="19050" cap="rnd">
              <a:solidFill>
                <a:schemeClr val="accent2">
                  <a:lumMod val="75000"/>
                </a:schemeClr>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6'!$AP$11:$AP$113</c:f>
              <c:numCache>
                <c:formatCode>0.00</c:formatCode>
                <c:ptCount val="103"/>
                <c:pt idx="0">
                  <c:v>0.47707836666666537</c:v>
                </c:pt>
                <c:pt idx="1">
                  <c:v>0.47707836666666537</c:v>
                </c:pt>
                <c:pt idx="2">
                  <c:v>0.47707836666666537</c:v>
                </c:pt>
                <c:pt idx="3">
                  <c:v>0.47707836666666537</c:v>
                </c:pt>
                <c:pt idx="4">
                  <c:v>0.47707836666666537</c:v>
                </c:pt>
                <c:pt idx="5">
                  <c:v>0.72455350987577538</c:v>
                </c:pt>
                <c:pt idx="6">
                  <c:v>0.97202865308488773</c:v>
                </c:pt>
                <c:pt idx="7">
                  <c:v>1.2195037962939979</c:v>
                </c:pt>
                <c:pt idx="8">
                  <c:v>1.4669789395031065</c:v>
                </c:pt>
                <c:pt idx="9">
                  <c:v>1.7144540827122163</c:v>
                </c:pt>
                <c:pt idx="10">
                  <c:v>1.9619292259213281</c:v>
                </c:pt>
                <c:pt idx="11">
                  <c:v>2.2094043691304379</c:v>
                </c:pt>
                <c:pt idx="12">
                  <c:v>2.4568795123395466</c:v>
                </c:pt>
                <c:pt idx="13">
                  <c:v>2.7043546555486579</c:v>
                </c:pt>
                <c:pt idx="14">
                  <c:v>2.9518297987577662</c:v>
                </c:pt>
                <c:pt idx="15">
                  <c:v>3.199304941966878</c:v>
                </c:pt>
                <c:pt idx="16">
                  <c:v>3.4467800851759862</c:v>
                </c:pt>
                <c:pt idx="17">
                  <c:v>3.6942552283850976</c:v>
                </c:pt>
                <c:pt idx="18">
                  <c:v>3.9417303715942067</c:v>
                </c:pt>
                <c:pt idx="19">
                  <c:v>4.1892055148033185</c:v>
                </c:pt>
                <c:pt idx="20">
                  <c:v>4.4366806580124294</c:v>
                </c:pt>
                <c:pt idx="21">
                  <c:v>4.6841558012215376</c:v>
                </c:pt>
                <c:pt idx="22">
                  <c:v>4.9316309444306459</c:v>
                </c:pt>
                <c:pt idx="23">
                  <c:v>5.1791060876397577</c:v>
                </c:pt>
                <c:pt idx="24">
                  <c:v>5.4265812308488686</c:v>
                </c:pt>
                <c:pt idx="25">
                  <c:v>5.6740563740579777</c:v>
                </c:pt>
                <c:pt idx="26">
                  <c:v>5.9215315172670895</c:v>
                </c:pt>
                <c:pt idx="27">
                  <c:v>6.1690066604761977</c:v>
                </c:pt>
                <c:pt idx="28">
                  <c:v>6.2678309957142941</c:v>
                </c:pt>
                <c:pt idx="29">
                  <c:v>6.3666553309523888</c:v>
                </c:pt>
                <c:pt idx="30">
                  <c:v>6.4654796661904825</c:v>
                </c:pt>
                <c:pt idx="31">
                  <c:v>6.5643040014285798</c:v>
                </c:pt>
                <c:pt idx="32">
                  <c:v>6.6631283366666736</c:v>
                </c:pt>
                <c:pt idx="33">
                  <c:v>6.7619526719047709</c:v>
                </c:pt>
                <c:pt idx="34">
                  <c:v>6.8607770071428673</c:v>
                </c:pt>
                <c:pt idx="35">
                  <c:v>6.9596013423809602</c:v>
                </c:pt>
                <c:pt idx="36">
                  <c:v>7.0584256776190566</c:v>
                </c:pt>
                <c:pt idx="37">
                  <c:v>7.1572500128571503</c:v>
                </c:pt>
                <c:pt idx="38">
                  <c:v>7.2560743480952477</c:v>
                </c:pt>
                <c:pt idx="39">
                  <c:v>7.3311999999999999</c:v>
                </c:pt>
                <c:pt idx="40">
                  <c:v>7.3311999999999999</c:v>
                </c:pt>
                <c:pt idx="41">
                  <c:v>7.3311999999999999</c:v>
                </c:pt>
                <c:pt idx="42">
                  <c:v>7.3311999999999999</c:v>
                </c:pt>
                <c:pt idx="43">
                  <c:v>7.3311999999999999</c:v>
                </c:pt>
                <c:pt idx="44">
                  <c:v>7.3311999999999999</c:v>
                </c:pt>
                <c:pt idx="45">
                  <c:v>7.3311999999999999</c:v>
                </c:pt>
                <c:pt idx="46">
                  <c:v>7.3311999999999999</c:v>
                </c:pt>
                <c:pt idx="47">
                  <c:v>7.3311999999999999</c:v>
                </c:pt>
                <c:pt idx="48">
                  <c:v>7.3311999999999999</c:v>
                </c:pt>
                <c:pt idx="49">
                  <c:v>7.3311999999999999</c:v>
                </c:pt>
                <c:pt idx="50">
                  <c:v>7.3311999999999999</c:v>
                </c:pt>
                <c:pt idx="51">
                  <c:v>7.3311999999999999</c:v>
                </c:pt>
                <c:pt idx="52">
                  <c:v>7.3311999999999999</c:v>
                </c:pt>
                <c:pt idx="53">
                  <c:v>7.3311999999999999</c:v>
                </c:pt>
                <c:pt idx="54">
                  <c:v>7.3311999999999999</c:v>
                </c:pt>
                <c:pt idx="55">
                  <c:v>7.3311999999999999</c:v>
                </c:pt>
                <c:pt idx="56">
                  <c:v>7.3311999999999999</c:v>
                </c:pt>
                <c:pt idx="57">
                  <c:v>7.3311999999999999</c:v>
                </c:pt>
                <c:pt idx="58">
                  <c:v>7.3311999999999999</c:v>
                </c:pt>
                <c:pt idx="59">
                  <c:v>7.3311999999999999</c:v>
                </c:pt>
                <c:pt idx="60">
                  <c:v>7.3311999999999999</c:v>
                </c:pt>
                <c:pt idx="61">
                  <c:v>7.3311999999999999</c:v>
                </c:pt>
                <c:pt idx="62">
                  <c:v>7.3311999999999999</c:v>
                </c:pt>
                <c:pt idx="63">
                  <c:v>7.3311999999999999</c:v>
                </c:pt>
                <c:pt idx="64">
                  <c:v>7.3311999999999999</c:v>
                </c:pt>
                <c:pt idx="65">
                  <c:v>7.3311999999999999</c:v>
                </c:pt>
                <c:pt idx="66">
                  <c:v>7.3311999999999999</c:v>
                </c:pt>
                <c:pt idx="67">
                  <c:v>7.3311999999999999</c:v>
                </c:pt>
                <c:pt idx="68">
                  <c:v>7.3311999999999999</c:v>
                </c:pt>
                <c:pt idx="69">
                  <c:v>7.3311999999999999</c:v>
                </c:pt>
                <c:pt idx="70">
                  <c:v>7.3093047286666692</c:v>
                </c:pt>
                <c:pt idx="71">
                  <c:v>7.3311999999999999</c:v>
                </c:pt>
                <c:pt idx="72">
                  <c:v>7.3311999999999999</c:v>
                </c:pt>
                <c:pt idx="73">
                  <c:v>7.3311999999999999</c:v>
                </c:pt>
                <c:pt idx="74">
                  <c:v>7.3311999999999999</c:v>
                </c:pt>
                <c:pt idx="75">
                  <c:v>7.3311999999999999</c:v>
                </c:pt>
                <c:pt idx="76">
                  <c:v>7.3311999999999999</c:v>
                </c:pt>
                <c:pt idx="77">
                  <c:v>7.3311999999999999</c:v>
                </c:pt>
                <c:pt idx="78">
                  <c:v>7.3311999999999999</c:v>
                </c:pt>
                <c:pt idx="79">
                  <c:v>7.3311999999999999</c:v>
                </c:pt>
                <c:pt idx="80">
                  <c:v>7.3311999999999999</c:v>
                </c:pt>
                <c:pt idx="81">
                  <c:v>7.3311999999999999</c:v>
                </c:pt>
                <c:pt idx="82">
                  <c:v>7.3311999999999999</c:v>
                </c:pt>
                <c:pt idx="83">
                  <c:v>7.3311999999999999</c:v>
                </c:pt>
                <c:pt idx="84">
                  <c:v>7.3311999999999999</c:v>
                </c:pt>
                <c:pt idx="85">
                  <c:v>7.3311999999999999</c:v>
                </c:pt>
                <c:pt idx="86">
                  <c:v>7.3311999999999999</c:v>
                </c:pt>
                <c:pt idx="87">
                  <c:v>7.3311999999999999</c:v>
                </c:pt>
                <c:pt idx="88">
                  <c:v>7.3311999999999999</c:v>
                </c:pt>
                <c:pt idx="89">
                  <c:v>7.3311999999999999</c:v>
                </c:pt>
                <c:pt idx="90">
                  <c:v>7.3311999999999999</c:v>
                </c:pt>
                <c:pt idx="91">
                  <c:v>7.3311999999999999</c:v>
                </c:pt>
                <c:pt idx="92">
                  <c:v>7.3311999999999999</c:v>
                </c:pt>
                <c:pt idx="93">
                  <c:v>7.3311999999999999</c:v>
                </c:pt>
                <c:pt idx="94">
                  <c:v>7.3311999999999999</c:v>
                </c:pt>
                <c:pt idx="95">
                  <c:v>7.3311999999999999</c:v>
                </c:pt>
                <c:pt idx="96">
                  <c:v>7.3311999999999999</c:v>
                </c:pt>
                <c:pt idx="97">
                  <c:v>7.3311999999999999</c:v>
                </c:pt>
                <c:pt idx="98">
                  <c:v>7.3311999999999999</c:v>
                </c:pt>
                <c:pt idx="99">
                  <c:v>7.3311999999999999</c:v>
                </c:pt>
                <c:pt idx="100">
                  <c:v>7.3311999999999999</c:v>
                </c:pt>
                <c:pt idx="101">
                  <c:v>7.3311999999999999</c:v>
                </c:pt>
                <c:pt idx="102">
                  <c:v>7.3311999999999999</c:v>
                </c:pt>
              </c:numCache>
            </c:numRef>
          </c:yVal>
          <c:smooth val="0"/>
          <c:extLst>
            <c:ext xmlns:c16="http://schemas.microsoft.com/office/drawing/2014/chart" uri="{C3380CC4-5D6E-409C-BE32-E72D297353CC}">
              <c16:uniqueId val="{00000001-2560-4F56-88EA-74423DFC4331}"/>
            </c:ext>
          </c:extLst>
        </c:ser>
        <c:ser>
          <c:idx val="0"/>
          <c:order val="2"/>
          <c:tx>
            <c:v>Management Allowed Depletion</c:v>
          </c:tx>
          <c:spPr>
            <a:ln w="19050" cap="rnd">
              <a:solidFill>
                <a:srgbClr val="7030A0"/>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6'!$AS$11:$AS$113</c:f>
              <c:numCache>
                <c:formatCode>0.00</c:formatCode>
                <c:ptCount val="103"/>
                <c:pt idx="0">
                  <c:v>0.30055937099999919</c:v>
                </c:pt>
                <c:pt idx="1">
                  <c:v>0.30055937099999919</c:v>
                </c:pt>
                <c:pt idx="2">
                  <c:v>0.30055937099999919</c:v>
                </c:pt>
                <c:pt idx="3">
                  <c:v>0.30055937099999919</c:v>
                </c:pt>
                <c:pt idx="4">
                  <c:v>0.30055937099999919</c:v>
                </c:pt>
                <c:pt idx="5">
                  <c:v>0.45646871122173849</c:v>
                </c:pt>
                <c:pt idx="6">
                  <c:v>0.61237805144347934</c:v>
                </c:pt>
                <c:pt idx="7">
                  <c:v>0.76828739166521864</c:v>
                </c:pt>
                <c:pt idx="8">
                  <c:v>0.92419673188695717</c:v>
                </c:pt>
                <c:pt idx="9">
                  <c:v>1.0801060721086961</c:v>
                </c:pt>
                <c:pt idx="10">
                  <c:v>1.2360154123304368</c:v>
                </c:pt>
                <c:pt idx="11">
                  <c:v>1.3919247525521758</c:v>
                </c:pt>
                <c:pt idx="12">
                  <c:v>1.5478340927739143</c:v>
                </c:pt>
                <c:pt idx="13">
                  <c:v>1.7037434329956544</c:v>
                </c:pt>
                <c:pt idx="14">
                  <c:v>1.8596527732173926</c:v>
                </c:pt>
                <c:pt idx="15">
                  <c:v>2.0155621134391328</c:v>
                </c:pt>
                <c:pt idx="16">
                  <c:v>2.171471453660871</c:v>
                </c:pt>
                <c:pt idx="17">
                  <c:v>2.3273807938826114</c:v>
                </c:pt>
                <c:pt idx="18">
                  <c:v>2.4832901341043501</c:v>
                </c:pt>
                <c:pt idx="19">
                  <c:v>2.6391994743260909</c:v>
                </c:pt>
                <c:pt idx="20">
                  <c:v>2.7951088145478304</c:v>
                </c:pt>
                <c:pt idx="21">
                  <c:v>2.9510181547695686</c:v>
                </c:pt>
                <c:pt idx="22">
                  <c:v>3.1069274949913068</c:v>
                </c:pt>
                <c:pt idx="23">
                  <c:v>3.2628368352130472</c:v>
                </c:pt>
                <c:pt idx="24">
                  <c:v>3.4187461754347872</c:v>
                </c:pt>
                <c:pt idx="25">
                  <c:v>3.5746555156565258</c:v>
                </c:pt>
                <c:pt idx="26">
                  <c:v>3.7305648558782663</c:v>
                </c:pt>
                <c:pt idx="27">
                  <c:v>3.8864741961000044</c:v>
                </c:pt>
                <c:pt idx="28">
                  <c:v>3.9487335273000053</c:v>
                </c:pt>
                <c:pt idx="29">
                  <c:v>4.0109928585000052</c:v>
                </c:pt>
                <c:pt idx="30">
                  <c:v>4.0732521897000042</c:v>
                </c:pt>
                <c:pt idx="31">
                  <c:v>4.1355115209000051</c:v>
                </c:pt>
                <c:pt idx="32">
                  <c:v>4.197770852100005</c:v>
                </c:pt>
                <c:pt idx="33">
                  <c:v>4.2600301833000058</c:v>
                </c:pt>
                <c:pt idx="34">
                  <c:v>4.3222895145000066</c:v>
                </c:pt>
                <c:pt idx="35">
                  <c:v>4.3845488457000048</c:v>
                </c:pt>
                <c:pt idx="36">
                  <c:v>4.4468081769000056</c:v>
                </c:pt>
                <c:pt idx="37">
                  <c:v>4.5090675081000047</c:v>
                </c:pt>
                <c:pt idx="38">
                  <c:v>4.5713268393000064</c:v>
                </c:pt>
                <c:pt idx="39">
                  <c:v>4.6186559999999997</c:v>
                </c:pt>
                <c:pt idx="40">
                  <c:v>4.6186559999999997</c:v>
                </c:pt>
                <c:pt idx="41">
                  <c:v>4.6186559999999997</c:v>
                </c:pt>
                <c:pt idx="42">
                  <c:v>4.6186559999999997</c:v>
                </c:pt>
                <c:pt idx="43">
                  <c:v>4.6186559999999997</c:v>
                </c:pt>
                <c:pt idx="44">
                  <c:v>4.6186559999999997</c:v>
                </c:pt>
                <c:pt idx="45">
                  <c:v>4.6186559999999997</c:v>
                </c:pt>
                <c:pt idx="46">
                  <c:v>4.6186559999999997</c:v>
                </c:pt>
                <c:pt idx="47">
                  <c:v>4.6186559999999997</c:v>
                </c:pt>
                <c:pt idx="48">
                  <c:v>4.6186559999999997</c:v>
                </c:pt>
                <c:pt idx="49">
                  <c:v>4.6186559999999997</c:v>
                </c:pt>
                <c:pt idx="50">
                  <c:v>4.6186559999999997</c:v>
                </c:pt>
                <c:pt idx="51">
                  <c:v>4.6186559999999997</c:v>
                </c:pt>
                <c:pt idx="52">
                  <c:v>4.6186559999999997</c:v>
                </c:pt>
                <c:pt idx="53">
                  <c:v>4.6186559999999997</c:v>
                </c:pt>
                <c:pt idx="54">
                  <c:v>4.6186559999999997</c:v>
                </c:pt>
                <c:pt idx="55">
                  <c:v>4.6186559999999997</c:v>
                </c:pt>
                <c:pt idx="56">
                  <c:v>4.6186559999999997</c:v>
                </c:pt>
                <c:pt idx="57">
                  <c:v>4.6186559999999997</c:v>
                </c:pt>
                <c:pt idx="58">
                  <c:v>4.6186559999999997</c:v>
                </c:pt>
                <c:pt idx="59">
                  <c:v>4.6186559999999997</c:v>
                </c:pt>
                <c:pt idx="60">
                  <c:v>4.6186559999999997</c:v>
                </c:pt>
                <c:pt idx="61">
                  <c:v>4.6186559999999997</c:v>
                </c:pt>
                <c:pt idx="62">
                  <c:v>4.6186559999999997</c:v>
                </c:pt>
                <c:pt idx="63">
                  <c:v>4.6186559999999997</c:v>
                </c:pt>
                <c:pt idx="64">
                  <c:v>4.6186559999999997</c:v>
                </c:pt>
                <c:pt idx="65">
                  <c:v>4.6186559999999997</c:v>
                </c:pt>
                <c:pt idx="66">
                  <c:v>4.6186559999999997</c:v>
                </c:pt>
                <c:pt idx="67">
                  <c:v>4.6186559999999997</c:v>
                </c:pt>
                <c:pt idx="68">
                  <c:v>4.6186559999999997</c:v>
                </c:pt>
                <c:pt idx="69">
                  <c:v>4.6186559999999997</c:v>
                </c:pt>
                <c:pt idx="70">
                  <c:v>4.6048619790600016</c:v>
                </c:pt>
                <c:pt idx="71">
                  <c:v>4.6186559999999997</c:v>
                </c:pt>
                <c:pt idx="72">
                  <c:v>4.6186559999999997</c:v>
                </c:pt>
                <c:pt idx="73">
                  <c:v>4.6186559999999997</c:v>
                </c:pt>
                <c:pt idx="74">
                  <c:v>4.6186559999999997</c:v>
                </c:pt>
                <c:pt idx="75">
                  <c:v>4.6186559999999997</c:v>
                </c:pt>
                <c:pt idx="76">
                  <c:v>4.6186559999999997</c:v>
                </c:pt>
                <c:pt idx="77">
                  <c:v>4.6186559999999997</c:v>
                </c:pt>
                <c:pt idx="78">
                  <c:v>4.6186559999999997</c:v>
                </c:pt>
                <c:pt idx="79">
                  <c:v>4.6186559999999997</c:v>
                </c:pt>
                <c:pt idx="80">
                  <c:v>4.6186559999999997</c:v>
                </c:pt>
                <c:pt idx="81">
                  <c:v>4.6186559999999997</c:v>
                </c:pt>
                <c:pt idx="82">
                  <c:v>4.6186559999999997</c:v>
                </c:pt>
                <c:pt idx="83">
                  <c:v>4.6186559999999997</c:v>
                </c:pt>
                <c:pt idx="84">
                  <c:v>4.6186559999999997</c:v>
                </c:pt>
                <c:pt idx="85">
                  <c:v>4.6186559999999997</c:v>
                </c:pt>
                <c:pt idx="86">
                  <c:v>4.6186559999999997</c:v>
                </c:pt>
                <c:pt idx="87">
                  <c:v>4.6186559999999997</c:v>
                </c:pt>
                <c:pt idx="88">
                  <c:v>4.6186559999999997</c:v>
                </c:pt>
                <c:pt idx="89">
                  <c:v>4.6186559999999997</c:v>
                </c:pt>
                <c:pt idx="90">
                  <c:v>4.6186559999999997</c:v>
                </c:pt>
                <c:pt idx="91">
                  <c:v>4.6186559999999997</c:v>
                </c:pt>
                <c:pt idx="92">
                  <c:v>4.6186559999999997</c:v>
                </c:pt>
                <c:pt idx="93">
                  <c:v>4.6186559999999997</c:v>
                </c:pt>
                <c:pt idx="94">
                  <c:v>4.6186559999999997</c:v>
                </c:pt>
                <c:pt idx="95">
                  <c:v>4.6186559999999997</c:v>
                </c:pt>
                <c:pt idx="96">
                  <c:v>4.6186559999999997</c:v>
                </c:pt>
                <c:pt idx="97">
                  <c:v>4.6186559999999997</c:v>
                </c:pt>
                <c:pt idx="98">
                  <c:v>4.6186559999999997</c:v>
                </c:pt>
                <c:pt idx="99">
                  <c:v>4.6186559999999997</c:v>
                </c:pt>
                <c:pt idx="100">
                  <c:v>4.6186559999999997</c:v>
                </c:pt>
                <c:pt idx="101">
                  <c:v>4.6186559999999997</c:v>
                </c:pt>
                <c:pt idx="102">
                  <c:v>4.6186559999999997</c:v>
                </c:pt>
              </c:numCache>
            </c:numRef>
          </c:yVal>
          <c:smooth val="0"/>
          <c:extLst>
            <c:ext xmlns:c16="http://schemas.microsoft.com/office/drawing/2014/chart" uri="{C3380CC4-5D6E-409C-BE32-E72D297353CC}">
              <c16:uniqueId val="{00000002-2560-4F56-88EA-74423DFC4331}"/>
            </c:ext>
          </c:extLst>
        </c:ser>
        <c:dLbls>
          <c:showLegendKey val="0"/>
          <c:showVal val="0"/>
          <c:showCatName val="0"/>
          <c:showSerName val="0"/>
          <c:showPercent val="0"/>
          <c:showBubbleSize val="0"/>
        </c:dLbls>
        <c:axId val="142284992"/>
        <c:axId val="142285568"/>
      </c:scatterChart>
      <c:valAx>
        <c:axId val="142284992"/>
        <c:scaling>
          <c:orientation val="minMax"/>
          <c:max val="42260"/>
          <c:min val="4215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85568"/>
        <c:crosses val="autoZero"/>
        <c:crossBetween val="midCat"/>
        <c:majorUnit val="7"/>
      </c:valAx>
      <c:valAx>
        <c:axId val="142285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84992"/>
        <c:crosses val="autoZero"/>
        <c:crossBetween val="midCat"/>
        <c:majorUnit val="1"/>
      </c:valAx>
      <c:spPr>
        <a:noFill/>
        <a:ln w="57150">
          <a:noFill/>
        </a:ln>
        <a:effectLst/>
      </c:spPr>
    </c:plotArea>
    <c:legend>
      <c:legendPos val="r"/>
      <c:layout>
        <c:manualLayout>
          <c:xMode val="edge"/>
          <c:yMode val="edge"/>
          <c:x val="0.88136726933547938"/>
          <c:y val="0.26773084183121054"/>
          <c:w val="9.7136225414803393E-2"/>
          <c:h val="0.435204201196245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Potential</a:t>
            </a:r>
            <a:r>
              <a:rPr lang="en-US" b="1" baseline="0"/>
              <a:t> ET, Actual ET, Crop Coefficient, and Adjusted Crop Coefficient</a:t>
            </a:r>
            <a:endParaRPr lang="en-US" b="1"/>
          </a:p>
        </c:rich>
      </c:tx>
      <c:layout>
        <c:manualLayout>
          <c:xMode val="edge"/>
          <c:yMode val="edge"/>
          <c:x val="0.16987788031719528"/>
          <c:y val="3.45336986604781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154912858360374E-2"/>
          <c:y val="0.12602402180888353"/>
          <c:w val="0.783082179281686"/>
          <c:h val="0.76949361781652104"/>
        </c:manualLayout>
      </c:layout>
      <c:scatterChart>
        <c:scatterStyle val="lineMarker"/>
        <c:varyColors val="0"/>
        <c:ser>
          <c:idx val="3"/>
          <c:order val="1"/>
          <c:tx>
            <c:v>ET actual</c:v>
          </c:tx>
          <c:spPr>
            <a:ln w="19050" cap="rnd">
              <a:solidFill>
                <a:srgbClr val="FFC000"/>
              </a:solidFill>
              <a:prstDash val="solid"/>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6'!$AK$11:$AK$113</c:f>
              <c:numCache>
                <c:formatCode>0.00</c:formatCode>
                <c:ptCount val="103"/>
                <c:pt idx="0">
                  <c:v>0.12282949999999997</c:v>
                </c:pt>
                <c:pt idx="1">
                  <c:v>9.7416499999999989E-2</c:v>
                </c:pt>
                <c:pt idx="2">
                  <c:v>9.0482413291371314E-2</c:v>
                </c:pt>
                <c:pt idx="3">
                  <c:v>8.047449999999999E-2</c:v>
                </c:pt>
                <c:pt idx="4">
                  <c:v>7.2003499999999998E-2</c:v>
                </c:pt>
                <c:pt idx="5">
                  <c:v>8.6850726708074533E-2</c:v>
                </c:pt>
                <c:pt idx="6">
                  <c:v>0.10234017142857145</c:v>
                </c:pt>
                <c:pt idx="7">
                  <c:v>0.10935861614906833</c:v>
                </c:pt>
                <c:pt idx="8">
                  <c:v>0.10726384285714287</c:v>
                </c:pt>
                <c:pt idx="9">
                  <c:v>0.11449636024844721</c:v>
                </c:pt>
                <c:pt idx="10">
                  <c:v>0.11218751428571432</c:v>
                </c:pt>
                <c:pt idx="11">
                  <c:v>0.11464935000000002</c:v>
                </c:pt>
                <c:pt idx="12">
                  <c:v>0.11201939503105592</c:v>
                </c:pt>
                <c:pt idx="13">
                  <c:v>0.11437419440993792</c:v>
                </c:pt>
                <c:pt idx="14">
                  <c:v>0.1326465838509317</c:v>
                </c:pt>
                <c:pt idx="15">
                  <c:v>0.12990959254658388</c:v>
                </c:pt>
                <c:pt idx="16">
                  <c:v>0.13247846459627333</c:v>
                </c:pt>
                <c:pt idx="17">
                  <c:v>0.13504733664596277</c:v>
                </c:pt>
                <c:pt idx="18">
                  <c:v>0.14908422608695657</c:v>
                </c:pt>
                <c:pt idx="19">
                  <c:v>0.12850299068322985</c:v>
                </c:pt>
                <c:pt idx="20">
                  <c:v>0.14275395279503111</c:v>
                </c:pt>
                <c:pt idx="21">
                  <c:v>0.13926770714285719</c:v>
                </c:pt>
                <c:pt idx="22">
                  <c:v>0.1417295428571429</c:v>
                </c:pt>
                <c:pt idx="23">
                  <c:v>0.14419137857142864</c:v>
                </c:pt>
                <c:pt idx="24">
                  <c:v>0.14665321428571437</c:v>
                </c:pt>
                <c:pt idx="25">
                  <c:v>0.15559831304347832</c:v>
                </c:pt>
                <c:pt idx="26">
                  <c:v>0.15157688571428579</c:v>
                </c:pt>
                <c:pt idx="27">
                  <c:v>0.16743339285714293</c:v>
                </c:pt>
                <c:pt idx="28">
                  <c:v>0.18198212142857154</c:v>
                </c:pt>
                <c:pt idx="29">
                  <c:v>0.16278771428571434</c:v>
                </c:pt>
                <c:pt idx="30">
                  <c:v>0.17063910714285721</c:v>
                </c:pt>
                <c:pt idx="31">
                  <c:v>0.1648393714285715</c:v>
                </c:pt>
                <c:pt idx="32">
                  <c:v>0.15895415000000007</c:v>
                </c:pt>
                <c:pt idx="33">
                  <c:v>0.17384482142857152</c:v>
                </c:pt>
                <c:pt idx="34">
                  <c:v>0.10494803571428578</c:v>
                </c:pt>
                <c:pt idx="35">
                  <c:v>0.1337462928571429</c:v>
                </c:pt>
                <c:pt idx="36">
                  <c:v>0.14872245000000006</c:v>
                </c:pt>
                <c:pt idx="37">
                  <c:v>7.1247642857142898E-2</c:v>
                </c:pt>
                <c:pt idx="38">
                  <c:v>0.15051765000000009</c:v>
                </c:pt>
                <c:pt idx="39">
                  <c:v>0.17304600000000012</c:v>
                </c:pt>
                <c:pt idx="40">
                  <c:v>0.18025625000000003</c:v>
                </c:pt>
                <c:pt idx="41">
                  <c:v>0.16583575000000003</c:v>
                </c:pt>
                <c:pt idx="42">
                  <c:v>0.14420500000000003</c:v>
                </c:pt>
                <c:pt idx="43">
                  <c:v>0.16583575000000003</c:v>
                </c:pt>
                <c:pt idx="44">
                  <c:v>0.12257425000000004</c:v>
                </c:pt>
                <c:pt idx="45">
                  <c:v>0.13699475000000003</c:v>
                </c:pt>
                <c:pt idx="46">
                  <c:v>9.3733250000000018E-2</c:v>
                </c:pt>
                <c:pt idx="47">
                  <c:v>9.3733250000000018E-2</c:v>
                </c:pt>
                <c:pt idx="48">
                  <c:v>0.15141525000000003</c:v>
                </c:pt>
                <c:pt idx="49">
                  <c:v>0.11276176672949319</c:v>
                </c:pt>
                <c:pt idx="50">
                  <c:v>0.13055995183389205</c:v>
                </c:pt>
                <c:pt idx="51">
                  <c:v>0.16299043482053138</c:v>
                </c:pt>
                <c:pt idx="52">
                  <c:v>0.15035655021150088</c:v>
                </c:pt>
                <c:pt idx="53">
                  <c:v>0.16555683695703557</c:v>
                </c:pt>
                <c:pt idx="54">
                  <c:v>0.16209826597822041</c:v>
                </c:pt>
                <c:pt idx="55">
                  <c:v>0.177164573850395</c:v>
                </c:pt>
                <c:pt idx="56">
                  <c:v>0.10215013202366009</c:v>
                </c:pt>
                <c:pt idx="57">
                  <c:v>0.1342597068152917</c:v>
                </c:pt>
                <c:pt idx="58">
                  <c:v>0.15695754429694975</c:v>
                </c:pt>
                <c:pt idx="59">
                  <c:v>0.15862550000000003</c:v>
                </c:pt>
                <c:pt idx="60">
                  <c:v>0.15862550000000003</c:v>
                </c:pt>
                <c:pt idx="61">
                  <c:v>0.15862550000000003</c:v>
                </c:pt>
                <c:pt idx="62">
                  <c:v>0.16583575000000003</c:v>
                </c:pt>
                <c:pt idx="63">
                  <c:v>3.5327449379803831E-2</c:v>
                </c:pt>
                <c:pt idx="64">
                  <c:v>0.14420500000000003</c:v>
                </c:pt>
                <c:pt idx="65">
                  <c:v>0.11536400000000002</c:v>
                </c:pt>
                <c:pt idx="66">
                  <c:v>0.15141525000000003</c:v>
                </c:pt>
                <c:pt idx="67">
                  <c:v>6.316352863318464E-2</c:v>
                </c:pt>
                <c:pt idx="68">
                  <c:v>0.10815375000000002</c:v>
                </c:pt>
                <c:pt idx="69">
                  <c:v>0.13699475000000003</c:v>
                </c:pt>
                <c:pt idx="70">
                  <c:v>0.13662007000000001</c:v>
                </c:pt>
                <c:pt idx="71">
                  <c:v>0.15032159333333334</c:v>
                </c:pt>
                <c:pt idx="72">
                  <c:v>0.1211388077777778</c:v>
                </c:pt>
                <c:pt idx="73">
                  <c:v>0.14896252000000001</c:v>
                </c:pt>
                <c:pt idx="74">
                  <c:v>0.14828298333333334</c:v>
                </c:pt>
                <c:pt idx="75">
                  <c:v>0.14057471111111114</c:v>
                </c:pt>
                <c:pt idx="76">
                  <c:v>0.12593478</c:v>
                </c:pt>
                <c:pt idx="77">
                  <c:v>0.15320839111111112</c:v>
                </c:pt>
                <c:pt idx="78">
                  <c:v>0.13690876601307189</c:v>
                </c:pt>
                <c:pt idx="79">
                  <c:v>0.12108345882352942</c:v>
                </c:pt>
                <c:pt idx="80">
                  <c:v>0.11875012823529411</c:v>
                </c:pt>
                <c:pt idx="81">
                  <c:v>0.12935199738562095</c:v>
                </c:pt>
                <c:pt idx="82">
                  <c:v>0.11960271682635225</c:v>
                </c:pt>
                <c:pt idx="83">
                  <c:v>0.10431142472820722</c:v>
                </c:pt>
                <c:pt idx="84">
                  <c:v>0.11154066611848272</c:v>
                </c:pt>
                <c:pt idx="85">
                  <c:v>0.11485506483383663</c:v>
                </c:pt>
                <c:pt idx="86">
                  <c:v>5.2375072352941171E-2</c:v>
                </c:pt>
                <c:pt idx="87">
                  <c:v>0.10241681411764705</c:v>
                </c:pt>
                <c:pt idx="88">
                  <c:v>0.10008348352941175</c:v>
                </c:pt>
                <c:pt idx="89">
                  <c:v>0.10105910222191153</c:v>
                </c:pt>
                <c:pt idx="90">
                  <c:v>0.10659491451278157</c:v>
                </c:pt>
                <c:pt idx="91">
                  <c:v>8.6984478864835485E-2</c:v>
                </c:pt>
                <c:pt idx="92">
                  <c:v>8.3094908745694127E-2</c:v>
                </c:pt>
                <c:pt idx="93">
                  <c:v>0.12676675072846319</c:v>
                </c:pt>
                <c:pt idx="94">
                  <c:v>0.12000856387410092</c:v>
                </c:pt>
                <c:pt idx="95">
                  <c:v>0.10487298376033498</c:v>
                </c:pt>
                <c:pt idx="96">
                  <c:v>7.4614686920180501E-2</c:v>
                </c:pt>
                <c:pt idx="97">
                  <c:v>5.835619033930535E-2</c:v>
                </c:pt>
                <c:pt idx="98">
                  <c:v>6.8057848855732295E-2</c:v>
                </c:pt>
                <c:pt idx="99">
                  <c:v>6.5014055948700439E-2</c:v>
                </c:pt>
                <c:pt idx="100">
                  <c:v>6.5953214850027905E-2</c:v>
                </c:pt>
                <c:pt idx="101">
                  <c:v>5.9178955801884765E-2</c:v>
                </c:pt>
                <c:pt idx="102">
                  <c:v>5.643142663318601E-2</c:v>
                </c:pt>
              </c:numCache>
            </c:numRef>
          </c:yVal>
          <c:smooth val="0"/>
          <c:extLst>
            <c:ext xmlns:c16="http://schemas.microsoft.com/office/drawing/2014/chart" uri="{C3380CC4-5D6E-409C-BE32-E72D297353CC}">
              <c16:uniqueId val="{00000000-C19A-44A0-A077-C4230272C2AD}"/>
            </c:ext>
          </c:extLst>
        </c:ser>
        <c:ser>
          <c:idx val="1"/>
          <c:order val="2"/>
          <c:tx>
            <c:v>Potential ET</c:v>
          </c:tx>
          <c:spPr>
            <a:ln w="19050" cap="rnd">
              <a:solidFill>
                <a:schemeClr val="accent2"/>
              </a:solidFill>
              <a:prstDash val="dash"/>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6'!$AJ$11:$AJ$113</c:f>
              <c:numCache>
                <c:formatCode>0.00</c:formatCode>
                <c:ptCount val="103"/>
                <c:pt idx="0">
                  <c:v>0.12282949999999997</c:v>
                </c:pt>
                <c:pt idx="1">
                  <c:v>9.7416499999999989E-2</c:v>
                </c:pt>
                <c:pt idx="2">
                  <c:v>0.10588749999999998</c:v>
                </c:pt>
                <c:pt idx="3">
                  <c:v>8.047449999999999E-2</c:v>
                </c:pt>
                <c:pt idx="4">
                  <c:v>7.2003499999999998E-2</c:v>
                </c:pt>
                <c:pt idx="5">
                  <c:v>8.6850726708074533E-2</c:v>
                </c:pt>
                <c:pt idx="6">
                  <c:v>0.10234017142857145</c:v>
                </c:pt>
                <c:pt idx="7">
                  <c:v>0.10935861614906833</c:v>
                </c:pt>
                <c:pt idx="8">
                  <c:v>0.10726384285714287</c:v>
                </c:pt>
                <c:pt idx="9">
                  <c:v>0.11449636024844721</c:v>
                </c:pt>
                <c:pt idx="10">
                  <c:v>0.11218751428571432</c:v>
                </c:pt>
                <c:pt idx="11">
                  <c:v>0.11464935000000002</c:v>
                </c:pt>
                <c:pt idx="12">
                  <c:v>0.11201939503105592</c:v>
                </c:pt>
                <c:pt idx="13">
                  <c:v>0.11437419440993792</c:v>
                </c:pt>
                <c:pt idx="14">
                  <c:v>0.1326465838509317</c:v>
                </c:pt>
                <c:pt idx="15">
                  <c:v>0.12990959254658388</c:v>
                </c:pt>
                <c:pt idx="16">
                  <c:v>0.13247846459627333</c:v>
                </c:pt>
                <c:pt idx="17">
                  <c:v>0.13504733664596277</c:v>
                </c:pt>
                <c:pt idx="18">
                  <c:v>0.14908422608695657</c:v>
                </c:pt>
                <c:pt idx="19">
                  <c:v>0.12850299068322985</c:v>
                </c:pt>
                <c:pt idx="20">
                  <c:v>0.14275395279503111</c:v>
                </c:pt>
                <c:pt idx="21">
                  <c:v>0.13926770714285719</c:v>
                </c:pt>
                <c:pt idx="22">
                  <c:v>0.1417295428571429</c:v>
                </c:pt>
                <c:pt idx="23">
                  <c:v>0.14419137857142864</c:v>
                </c:pt>
                <c:pt idx="24">
                  <c:v>0.14665321428571437</c:v>
                </c:pt>
                <c:pt idx="25">
                  <c:v>0.15559831304347832</c:v>
                </c:pt>
                <c:pt idx="26">
                  <c:v>0.15157688571428579</c:v>
                </c:pt>
                <c:pt idx="27">
                  <c:v>0.16743339285714293</c:v>
                </c:pt>
                <c:pt idx="28">
                  <c:v>0.18198212142857154</c:v>
                </c:pt>
                <c:pt idx="29">
                  <c:v>0.16278771428571434</c:v>
                </c:pt>
                <c:pt idx="30">
                  <c:v>0.17063910714285721</c:v>
                </c:pt>
                <c:pt idx="31">
                  <c:v>0.1648393714285715</c:v>
                </c:pt>
                <c:pt idx="32">
                  <c:v>0.15895415000000007</c:v>
                </c:pt>
                <c:pt idx="33">
                  <c:v>0.17384482142857152</c:v>
                </c:pt>
                <c:pt idx="34">
                  <c:v>0.10494803571428578</c:v>
                </c:pt>
                <c:pt idx="35">
                  <c:v>0.1337462928571429</c:v>
                </c:pt>
                <c:pt idx="36">
                  <c:v>0.14872245000000006</c:v>
                </c:pt>
                <c:pt idx="37">
                  <c:v>7.1247642857142898E-2</c:v>
                </c:pt>
                <c:pt idx="38">
                  <c:v>0.15051765000000009</c:v>
                </c:pt>
                <c:pt idx="39">
                  <c:v>0.17304600000000012</c:v>
                </c:pt>
                <c:pt idx="40">
                  <c:v>0.18025625000000003</c:v>
                </c:pt>
                <c:pt idx="41">
                  <c:v>0.16583575000000003</c:v>
                </c:pt>
                <c:pt idx="42">
                  <c:v>0.14420500000000003</c:v>
                </c:pt>
                <c:pt idx="43">
                  <c:v>0.16583575000000003</c:v>
                </c:pt>
                <c:pt idx="44">
                  <c:v>0.12257425000000004</c:v>
                </c:pt>
                <c:pt idx="45">
                  <c:v>0.13699475000000003</c:v>
                </c:pt>
                <c:pt idx="46">
                  <c:v>9.3733250000000018E-2</c:v>
                </c:pt>
                <c:pt idx="47">
                  <c:v>9.3733250000000018E-2</c:v>
                </c:pt>
                <c:pt idx="48">
                  <c:v>0.15141525000000003</c:v>
                </c:pt>
                <c:pt idx="49">
                  <c:v>0.11536400000000002</c:v>
                </c:pt>
                <c:pt idx="50">
                  <c:v>0.13699475000000003</c:v>
                </c:pt>
                <c:pt idx="51">
                  <c:v>0.16583575000000003</c:v>
                </c:pt>
                <c:pt idx="52">
                  <c:v>0.15862550000000003</c:v>
                </c:pt>
                <c:pt idx="53">
                  <c:v>0.16583575000000003</c:v>
                </c:pt>
                <c:pt idx="54">
                  <c:v>0.16583575000000003</c:v>
                </c:pt>
                <c:pt idx="55">
                  <c:v>0.18025625000000003</c:v>
                </c:pt>
                <c:pt idx="56">
                  <c:v>0.10815375000000002</c:v>
                </c:pt>
                <c:pt idx="57">
                  <c:v>0.14420500000000003</c:v>
                </c:pt>
                <c:pt idx="58">
                  <c:v>0.15862550000000003</c:v>
                </c:pt>
                <c:pt idx="59">
                  <c:v>0.15862550000000003</c:v>
                </c:pt>
                <c:pt idx="60">
                  <c:v>0.15862550000000003</c:v>
                </c:pt>
                <c:pt idx="61">
                  <c:v>0.15862550000000003</c:v>
                </c:pt>
                <c:pt idx="62">
                  <c:v>0.16583575000000003</c:v>
                </c:pt>
                <c:pt idx="63">
                  <c:v>3.6051250000000007E-2</c:v>
                </c:pt>
                <c:pt idx="64">
                  <c:v>0.14420500000000003</c:v>
                </c:pt>
                <c:pt idx="65">
                  <c:v>0.11536400000000002</c:v>
                </c:pt>
                <c:pt idx="66">
                  <c:v>0.15141525000000003</c:v>
                </c:pt>
                <c:pt idx="67">
                  <c:v>6.4892250000000012E-2</c:v>
                </c:pt>
                <c:pt idx="68">
                  <c:v>0.10815375000000002</c:v>
                </c:pt>
                <c:pt idx="69">
                  <c:v>0.13699475000000003</c:v>
                </c:pt>
                <c:pt idx="70">
                  <c:v>0.13662007000000001</c:v>
                </c:pt>
                <c:pt idx="71">
                  <c:v>0.15032159333333334</c:v>
                </c:pt>
                <c:pt idx="72">
                  <c:v>0.1211388077777778</c:v>
                </c:pt>
                <c:pt idx="73">
                  <c:v>0.14896252000000001</c:v>
                </c:pt>
                <c:pt idx="74">
                  <c:v>0.14828298333333334</c:v>
                </c:pt>
                <c:pt idx="75">
                  <c:v>0.14057471111111114</c:v>
                </c:pt>
                <c:pt idx="76">
                  <c:v>0.12593478</c:v>
                </c:pt>
                <c:pt idx="77">
                  <c:v>0.15320839111111112</c:v>
                </c:pt>
                <c:pt idx="78">
                  <c:v>0.13690876601307189</c:v>
                </c:pt>
                <c:pt idx="79">
                  <c:v>0.12108345882352942</c:v>
                </c:pt>
                <c:pt idx="80">
                  <c:v>0.11875012823529411</c:v>
                </c:pt>
                <c:pt idx="81">
                  <c:v>0.12935199738562095</c:v>
                </c:pt>
                <c:pt idx="82">
                  <c:v>0.1204214374509804</c:v>
                </c:pt>
                <c:pt idx="83">
                  <c:v>0.10554179555555557</c:v>
                </c:pt>
                <c:pt idx="84">
                  <c:v>0.11549551732026145</c:v>
                </c:pt>
                <c:pt idx="85">
                  <c:v>0.11898163921568627</c:v>
                </c:pt>
                <c:pt idx="86">
                  <c:v>5.2375072352941171E-2</c:v>
                </c:pt>
                <c:pt idx="87">
                  <c:v>0.10241681411764705</c:v>
                </c:pt>
                <c:pt idx="88">
                  <c:v>0.10008348352941175</c:v>
                </c:pt>
                <c:pt idx="89">
                  <c:v>0.10318071699346405</c:v>
                </c:pt>
                <c:pt idx="90">
                  <c:v>0.11131962607843136</c:v>
                </c:pt>
                <c:pt idx="91">
                  <c:v>9.3083491764705886E-2</c:v>
                </c:pt>
                <c:pt idx="92">
                  <c:v>9.0750161176470584E-2</c:v>
                </c:pt>
                <c:pt idx="93">
                  <c:v>0.1277131997385621</c:v>
                </c:pt>
                <c:pt idx="94">
                  <c:v>0.12434283333333336</c:v>
                </c:pt>
                <c:pt idx="95">
                  <c:v>0.11166689254901961</c:v>
                </c:pt>
                <c:pt idx="96">
                  <c:v>8.1416838823529417E-2</c:v>
                </c:pt>
                <c:pt idx="97">
                  <c:v>6.1509395294117655E-2</c:v>
                </c:pt>
                <c:pt idx="98">
                  <c:v>6.8222380130718963E-2</c:v>
                </c:pt>
                <c:pt idx="99">
                  <c:v>6.614830849673202E-2</c:v>
                </c:pt>
                <c:pt idx="100">
                  <c:v>6.8078876666666677E-2</c:v>
                </c:pt>
                <c:pt idx="101">
                  <c:v>6.2000165228758182E-2</c:v>
                </c:pt>
                <c:pt idx="102">
                  <c:v>5.9926093594771253E-2</c:v>
                </c:pt>
              </c:numCache>
            </c:numRef>
          </c:yVal>
          <c:smooth val="0"/>
          <c:extLst>
            <c:ext xmlns:c16="http://schemas.microsoft.com/office/drawing/2014/chart" uri="{C3380CC4-5D6E-409C-BE32-E72D297353CC}">
              <c16:uniqueId val="{00000001-C19A-44A0-A077-C4230272C2AD}"/>
            </c:ext>
          </c:extLst>
        </c:ser>
        <c:dLbls>
          <c:showLegendKey val="0"/>
          <c:showVal val="0"/>
          <c:showCatName val="0"/>
          <c:showSerName val="0"/>
          <c:showPercent val="0"/>
          <c:showBubbleSize val="0"/>
        </c:dLbls>
        <c:axId val="234890944"/>
        <c:axId val="234891520"/>
      </c:scatterChart>
      <c:scatterChart>
        <c:scatterStyle val="lineMarker"/>
        <c:varyColors val="0"/>
        <c:ser>
          <c:idx val="2"/>
          <c:order val="0"/>
          <c:tx>
            <c:v>KcKs Adjusted Crop Coefficient</c:v>
          </c:tx>
          <c:spPr>
            <a:ln w="31750" cap="rnd">
              <a:solidFill>
                <a:schemeClr val="accent3"/>
              </a:solidFill>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6'!$AI$11:$AI$113</c:f>
              <c:numCache>
                <c:formatCode>0.00</c:formatCode>
                <c:ptCount val="103"/>
                <c:pt idx="0">
                  <c:v>0.42354999999999993</c:v>
                </c:pt>
                <c:pt idx="1">
                  <c:v>0.42354999999999993</c:v>
                </c:pt>
                <c:pt idx="2">
                  <c:v>0.36192965316548525</c:v>
                </c:pt>
                <c:pt idx="3">
                  <c:v>0.42354999999999993</c:v>
                </c:pt>
                <c:pt idx="4">
                  <c:v>0.42354999999999993</c:v>
                </c:pt>
                <c:pt idx="5">
                  <c:v>0.43425363354037261</c:v>
                </c:pt>
                <c:pt idx="6">
                  <c:v>0.4449572670807454</c:v>
                </c:pt>
                <c:pt idx="7">
                  <c:v>0.45566090062111808</c:v>
                </c:pt>
                <c:pt idx="8">
                  <c:v>0.46636453416149071</c:v>
                </c:pt>
                <c:pt idx="9">
                  <c:v>0.47706816770186339</c:v>
                </c:pt>
                <c:pt idx="10">
                  <c:v>0.48777180124223612</c:v>
                </c:pt>
                <c:pt idx="11">
                  <c:v>0.49847543478260881</c:v>
                </c:pt>
                <c:pt idx="12">
                  <c:v>0.50917906832298143</c:v>
                </c:pt>
                <c:pt idx="13">
                  <c:v>0.51988270186335417</c:v>
                </c:pt>
                <c:pt idx="14">
                  <c:v>0.53058633540372679</c:v>
                </c:pt>
                <c:pt idx="15">
                  <c:v>0.54128996894409953</c:v>
                </c:pt>
                <c:pt idx="16">
                  <c:v>0.55199360248447216</c:v>
                </c:pt>
                <c:pt idx="17">
                  <c:v>0.56269723602484489</c:v>
                </c:pt>
                <c:pt idx="18">
                  <c:v>0.57340086956521752</c:v>
                </c:pt>
                <c:pt idx="19">
                  <c:v>0.58410450310559026</c:v>
                </c:pt>
                <c:pt idx="20">
                  <c:v>0.59480813664596299</c:v>
                </c:pt>
                <c:pt idx="21">
                  <c:v>0.60551177018633562</c:v>
                </c:pt>
                <c:pt idx="22">
                  <c:v>0.61621540372670824</c:v>
                </c:pt>
                <c:pt idx="23">
                  <c:v>0.62691903726708098</c:v>
                </c:pt>
                <c:pt idx="24">
                  <c:v>0.63762267080745372</c:v>
                </c:pt>
                <c:pt idx="25">
                  <c:v>0.64832630434782634</c:v>
                </c:pt>
                <c:pt idx="26">
                  <c:v>0.65902993788819908</c:v>
                </c:pt>
                <c:pt idx="27">
                  <c:v>0.66973357142857171</c:v>
                </c:pt>
                <c:pt idx="28">
                  <c:v>0.67400785714285749</c:v>
                </c:pt>
                <c:pt idx="29">
                  <c:v>0.67828214285714317</c:v>
                </c:pt>
                <c:pt idx="30">
                  <c:v>0.68255642857142884</c:v>
                </c:pt>
                <c:pt idx="31">
                  <c:v>0.68683071428571463</c:v>
                </c:pt>
                <c:pt idx="32">
                  <c:v>0.6911050000000003</c:v>
                </c:pt>
                <c:pt idx="33">
                  <c:v>0.69537928571428609</c:v>
                </c:pt>
                <c:pt idx="34">
                  <c:v>0.69965357142857187</c:v>
                </c:pt>
                <c:pt idx="35">
                  <c:v>0.70392785714285744</c:v>
                </c:pt>
                <c:pt idx="36">
                  <c:v>0.70820214285714322</c:v>
                </c:pt>
                <c:pt idx="37">
                  <c:v>0.7124764285714289</c:v>
                </c:pt>
                <c:pt idx="38">
                  <c:v>0.71675071428571469</c:v>
                </c:pt>
                <c:pt idx="39">
                  <c:v>0.72102500000000047</c:v>
                </c:pt>
                <c:pt idx="40">
                  <c:v>0.72102500000000014</c:v>
                </c:pt>
                <c:pt idx="41">
                  <c:v>0.72102500000000014</c:v>
                </c:pt>
                <c:pt idx="42">
                  <c:v>0.72102500000000014</c:v>
                </c:pt>
                <c:pt idx="43">
                  <c:v>0.72102500000000014</c:v>
                </c:pt>
                <c:pt idx="44">
                  <c:v>0.72102500000000014</c:v>
                </c:pt>
                <c:pt idx="45">
                  <c:v>0.72102500000000014</c:v>
                </c:pt>
                <c:pt idx="46">
                  <c:v>0.72102500000000014</c:v>
                </c:pt>
                <c:pt idx="47">
                  <c:v>0.72102500000000014</c:v>
                </c:pt>
                <c:pt idx="48">
                  <c:v>0.72102500000000014</c:v>
                </c:pt>
                <c:pt idx="49">
                  <c:v>0.70476104205933243</c:v>
                </c:pt>
                <c:pt idx="50">
                  <c:v>0.68715764123101075</c:v>
                </c:pt>
                <c:pt idx="51">
                  <c:v>0.70865406443709289</c:v>
                </c:pt>
                <c:pt idx="52">
                  <c:v>0.68343886459773129</c:v>
                </c:pt>
                <c:pt idx="53">
                  <c:v>0.71981233459580685</c:v>
                </c:pt>
                <c:pt idx="54">
                  <c:v>0.70477506947052349</c:v>
                </c:pt>
                <c:pt idx="55">
                  <c:v>0.70865829540157999</c:v>
                </c:pt>
                <c:pt idx="56">
                  <c:v>0.68100088015773386</c:v>
                </c:pt>
                <c:pt idx="57">
                  <c:v>0.67129853407645856</c:v>
                </c:pt>
                <c:pt idx="58">
                  <c:v>0.71344338316795342</c:v>
                </c:pt>
                <c:pt idx="59">
                  <c:v>0.72102500000000014</c:v>
                </c:pt>
                <c:pt idx="60">
                  <c:v>0.72102500000000014</c:v>
                </c:pt>
                <c:pt idx="61">
                  <c:v>0.72102500000000014</c:v>
                </c:pt>
                <c:pt idx="62">
                  <c:v>0.72102500000000014</c:v>
                </c:pt>
                <c:pt idx="63">
                  <c:v>0.70654898759607665</c:v>
                </c:pt>
                <c:pt idx="64">
                  <c:v>0.72102500000000014</c:v>
                </c:pt>
                <c:pt idx="65">
                  <c:v>0.72102500000000014</c:v>
                </c:pt>
                <c:pt idx="66">
                  <c:v>0.72102500000000014</c:v>
                </c:pt>
                <c:pt idx="67">
                  <c:v>0.70181698481316257</c:v>
                </c:pt>
                <c:pt idx="68">
                  <c:v>0.72102500000000014</c:v>
                </c:pt>
                <c:pt idx="69">
                  <c:v>0.72102500000000014</c:v>
                </c:pt>
                <c:pt idx="70">
                  <c:v>0.71905300000000005</c:v>
                </c:pt>
                <c:pt idx="71">
                  <c:v>0.71581711111111113</c:v>
                </c:pt>
                <c:pt idx="72">
                  <c:v>0.71258122222222231</c:v>
                </c:pt>
                <c:pt idx="73">
                  <c:v>0.70934533333333338</c:v>
                </c:pt>
                <c:pt idx="74">
                  <c:v>0.70610944444444446</c:v>
                </c:pt>
                <c:pt idx="75">
                  <c:v>0.70287355555555564</c:v>
                </c:pt>
                <c:pt idx="76">
                  <c:v>0.69963766666666671</c:v>
                </c:pt>
                <c:pt idx="77">
                  <c:v>0.69640177777777779</c:v>
                </c:pt>
                <c:pt idx="78">
                  <c:v>0.68454383006535946</c:v>
                </c:pt>
                <c:pt idx="79">
                  <c:v>0.67268588235294124</c:v>
                </c:pt>
                <c:pt idx="80">
                  <c:v>0.6597229346405229</c:v>
                </c:pt>
                <c:pt idx="81">
                  <c:v>0.64675998692810466</c:v>
                </c:pt>
                <c:pt idx="82">
                  <c:v>0.62948798329659073</c:v>
                </c:pt>
                <c:pt idx="83">
                  <c:v>0.61359661604827764</c:v>
                </c:pt>
                <c:pt idx="84">
                  <c:v>0.58705613746569851</c:v>
                </c:pt>
                <c:pt idx="85">
                  <c:v>0.57427532416918314</c:v>
                </c:pt>
                <c:pt idx="86">
                  <c:v>0.58194524836601302</c:v>
                </c:pt>
                <c:pt idx="87">
                  <c:v>0.56898230065359479</c:v>
                </c:pt>
                <c:pt idx="88">
                  <c:v>0.55601935294117644</c:v>
                </c:pt>
                <c:pt idx="89">
                  <c:v>0.53189001169427119</c:v>
                </c:pt>
                <c:pt idx="90">
                  <c:v>0.50759483101324554</c:v>
                </c:pt>
                <c:pt idx="91">
                  <c:v>0.48324710480464156</c:v>
                </c:pt>
                <c:pt idx="92">
                  <c:v>0.46163838192052298</c:v>
                </c:pt>
                <c:pt idx="93">
                  <c:v>0.48756442587870452</c:v>
                </c:pt>
                <c:pt idx="94">
                  <c:v>0.4615713995157727</c:v>
                </c:pt>
                <c:pt idx="95">
                  <c:v>0.43697076566806242</c:v>
                </c:pt>
                <c:pt idx="96">
                  <c:v>0.41452603844544722</c:v>
                </c:pt>
                <c:pt idx="97">
                  <c:v>0.41682993099503823</c:v>
                </c:pt>
                <c:pt idx="98">
                  <c:v>0.42536155534832681</c:v>
                </c:pt>
                <c:pt idx="99">
                  <c:v>0.40633784967937775</c:v>
                </c:pt>
                <c:pt idx="100">
                  <c:v>0.38796008735310528</c:v>
                </c:pt>
                <c:pt idx="101">
                  <c:v>0.36986847376177978</c:v>
                </c:pt>
                <c:pt idx="102">
                  <c:v>0.35269641645741256</c:v>
                </c:pt>
              </c:numCache>
            </c:numRef>
          </c:yVal>
          <c:smooth val="0"/>
          <c:extLst>
            <c:ext xmlns:c16="http://schemas.microsoft.com/office/drawing/2014/chart" uri="{C3380CC4-5D6E-409C-BE32-E72D297353CC}">
              <c16:uniqueId val="{00000002-C19A-44A0-A077-C4230272C2AD}"/>
            </c:ext>
          </c:extLst>
        </c:ser>
        <c:ser>
          <c:idx val="0"/>
          <c:order val="3"/>
          <c:tx>
            <c:v>Kc Crop Coefficient</c:v>
          </c:tx>
          <c:spPr>
            <a:ln w="25400" cap="rnd">
              <a:solidFill>
                <a:srgbClr val="7030A0"/>
              </a:solidFill>
              <a:prstDash val="dash"/>
              <a:round/>
            </a:ln>
            <a:effectLst/>
          </c:spPr>
          <c:marker>
            <c:symbol val="none"/>
          </c:marker>
          <c:xVal>
            <c:numRef>
              <c:f>'Fig 6'!$N$11:$N$113</c:f>
              <c:numCache>
                <c:formatCode>m/d/yy;@</c:formatCode>
                <c:ptCount val="103"/>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numCache>
            </c:numRef>
          </c:xVal>
          <c:yVal>
            <c:numRef>
              <c:f>'Fig 6'!$AG$11:$AG$113</c:f>
              <c:numCache>
                <c:formatCode>0.00</c:formatCode>
                <c:ptCount val="103"/>
                <c:pt idx="0">
                  <c:v>0.42354999999999993</c:v>
                </c:pt>
                <c:pt idx="1">
                  <c:v>0.42354999999999993</c:v>
                </c:pt>
                <c:pt idx="2">
                  <c:v>0.42354999999999993</c:v>
                </c:pt>
                <c:pt idx="3">
                  <c:v>0.42354999999999993</c:v>
                </c:pt>
                <c:pt idx="4">
                  <c:v>0.42354999999999993</c:v>
                </c:pt>
                <c:pt idx="5">
                  <c:v>0.43425363354037261</c:v>
                </c:pt>
                <c:pt idx="6">
                  <c:v>0.4449572670807454</c:v>
                </c:pt>
                <c:pt idx="7">
                  <c:v>0.45566090062111808</c:v>
                </c:pt>
                <c:pt idx="8">
                  <c:v>0.46636453416149071</c:v>
                </c:pt>
                <c:pt idx="9">
                  <c:v>0.47706816770186339</c:v>
                </c:pt>
                <c:pt idx="10">
                  <c:v>0.48777180124223612</c:v>
                </c:pt>
                <c:pt idx="11">
                  <c:v>0.49847543478260881</c:v>
                </c:pt>
                <c:pt idx="12">
                  <c:v>0.50917906832298143</c:v>
                </c:pt>
                <c:pt idx="13">
                  <c:v>0.51988270186335417</c:v>
                </c:pt>
                <c:pt idx="14">
                  <c:v>0.53058633540372679</c:v>
                </c:pt>
                <c:pt idx="15">
                  <c:v>0.54128996894409953</c:v>
                </c:pt>
                <c:pt idx="16">
                  <c:v>0.55199360248447216</c:v>
                </c:pt>
                <c:pt idx="17">
                  <c:v>0.56269723602484489</c:v>
                </c:pt>
                <c:pt idx="18">
                  <c:v>0.57340086956521752</c:v>
                </c:pt>
                <c:pt idx="19">
                  <c:v>0.58410450310559026</c:v>
                </c:pt>
                <c:pt idx="20">
                  <c:v>0.59480813664596299</c:v>
                </c:pt>
                <c:pt idx="21">
                  <c:v>0.60551177018633562</c:v>
                </c:pt>
                <c:pt idx="22">
                  <c:v>0.61621540372670824</c:v>
                </c:pt>
                <c:pt idx="23">
                  <c:v>0.62691903726708098</c:v>
                </c:pt>
                <c:pt idx="24">
                  <c:v>0.63762267080745372</c:v>
                </c:pt>
                <c:pt idx="25">
                  <c:v>0.64832630434782634</c:v>
                </c:pt>
                <c:pt idx="26">
                  <c:v>0.65902993788819908</c:v>
                </c:pt>
                <c:pt idx="27">
                  <c:v>0.66973357142857171</c:v>
                </c:pt>
                <c:pt idx="28">
                  <c:v>0.67400785714285749</c:v>
                </c:pt>
                <c:pt idx="29">
                  <c:v>0.67828214285714317</c:v>
                </c:pt>
                <c:pt idx="30">
                  <c:v>0.68255642857142884</c:v>
                </c:pt>
                <c:pt idx="31">
                  <c:v>0.68683071428571463</c:v>
                </c:pt>
                <c:pt idx="32">
                  <c:v>0.6911050000000003</c:v>
                </c:pt>
                <c:pt idx="33">
                  <c:v>0.69537928571428609</c:v>
                </c:pt>
                <c:pt idx="34">
                  <c:v>0.69965357142857187</c:v>
                </c:pt>
                <c:pt idx="35">
                  <c:v>0.70392785714285744</c:v>
                </c:pt>
                <c:pt idx="36">
                  <c:v>0.70820214285714322</c:v>
                </c:pt>
                <c:pt idx="37">
                  <c:v>0.7124764285714289</c:v>
                </c:pt>
                <c:pt idx="38">
                  <c:v>0.71675071428571469</c:v>
                </c:pt>
                <c:pt idx="39">
                  <c:v>0.72102500000000047</c:v>
                </c:pt>
                <c:pt idx="40">
                  <c:v>0.72102500000000014</c:v>
                </c:pt>
                <c:pt idx="41">
                  <c:v>0.72102500000000014</c:v>
                </c:pt>
                <c:pt idx="42">
                  <c:v>0.72102500000000014</c:v>
                </c:pt>
                <c:pt idx="43">
                  <c:v>0.72102500000000014</c:v>
                </c:pt>
                <c:pt idx="44">
                  <c:v>0.72102500000000014</c:v>
                </c:pt>
                <c:pt idx="45">
                  <c:v>0.72102500000000014</c:v>
                </c:pt>
                <c:pt idx="46">
                  <c:v>0.72102500000000014</c:v>
                </c:pt>
                <c:pt idx="47">
                  <c:v>0.72102500000000014</c:v>
                </c:pt>
                <c:pt idx="48">
                  <c:v>0.72102500000000014</c:v>
                </c:pt>
                <c:pt idx="49">
                  <c:v>0.72102500000000014</c:v>
                </c:pt>
                <c:pt idx="50">
                  <c:v>0.72102500000000014</c:v>
                </c:pt>
                <c:pt idx="51">
                  <c:v>0.72102500000000014</c:v>
                </c:pt>
                <c:pt idx="52">
                  <c:v>0.72102500000000014</c:v>
                </c:pt>
                <c:pt idx="53">
                  <c:v>0.72102500000000014</c:v>
                </c:pt>
                <c:pt idx="54">
                  <c:v>0.72102500000000014</c:v>
                </c:pt>
                <c:pt idx="55">
                  <c:v>0.72102500000000014</c:v>
                </c:pt>
                <c:pt idx="56">
                  <c:v>0.72102500000000014</c:v>
                </c:pt>
                <c:pt idx="57">
                  <c:v>0.72102500000000014</c:v>
                </c:pt>
                <c:pt idx="58">
                  <c:v>0.72102500000000014</c:v>
                </c:pt>
                <c:pt idx="59">
                  <c:v>0.72102500000000014</c:v>
                </c:pt>
                <c:pt idx="60">
                  <c:v>0.72102500000000014</c:v>
                </c:pt>
                <c:pt idx="61">
                  <c:v>0.72102500000000014</c:v>
                </c:pt>
                <c:pt idx="62">
                  <c:v>0.72102500000000014</c:v>
                </c:pt>
                <c:pt idx="63">
                  <c:v>0.72102500000000014</c:v>
                </c:pt>
                <c:pt idx="64">
                  <c:v>0.72102500000000014</c:v>
                </c:pt>
                <c:pt idx="65">
                  <c:v>0.72102500000000014</c:v>
                </c:pt>
                <c:pt idx="66">
                  <c:v>0.72102500000000014</c:v>
                </c:pt>
                <c:pt idx="67">
                  <c:v>0.72102500000000014</c:v>
                </c:pt>
                <c:pt idx="68">
                  <c:v>0.72102500000000014</c:v>
                </c:pt>
                <c:pt idx="69">
                  <c:v>0.72102500000000014</c:v>
                </c:pt>
                <c:pt idx="70">
                  <c:v>0.71905300000000005</c:v>
                </c:pt>
                <c:pt idx="71">
                  <c:v>0.71581711111111113</c:v>
                </c:pt>
                <c:pt idx="72">
                  <c:v>0.71258122222222231</c:v>
                </c:pt>
                <c:pt idx="73">
                  <c:v>0.70934533333333338</c:v>
                </c:pt>
                <c:pt idx="74">
                  <c:v>0.70610944444444446</c:v>
                </c:pt>
                <c:pt idx="75">
                  <c:v>0.70287355555555564</c:v>
                </c:pt>
                <c:pt idx="76">
                  <c:v>0.69963766666666671</c:v>
                </c:pt>
                <c:pt idx="77">
                  <c:v>0.69640177777777779</c:v>
                </c:pt>
                <c:pt idx="78">
                  <c:v>0.68454383006535946</c:v>
                </c:pt>
                <c:pt idx="79">
                  <c:v>0.67268588235294124</c:v>
                </c:pt>
                <c:pt idx="80">
                  <c:v>0.6597229346405229</c:v>
                </c:pt>
                <c:pt idx="81">
                  <c:v>0.64675998692810466</c:v>
                </c:pt>
                <c:pt idx="82">
                  <c:v>0.63379703921568631</c:v>
                </c:pt>
                <c:pt idx="83">
                  <c:v>0.62083409150326796</c:v>
                </c:pt>
                <c:pt idx="84">
                  <c:v>0.60787114379084972</c:v>
                </c:pt>
                <c:pt idx="85">
                  <c:v>0.59490819607843137</c:v>
                </c:pt>
                <c:pt idx="86">
                  <c:v>0.58194524836601302</c:v>
                </c:pt>
                <c:pt idx="87">
                  <c:v>0.56898230065359479</c:v>
                </c:pt>
                <c:pt idx="88">
                  <c:v>0.55601935294117644</c:v>
                </c:pt>
                <c:pt idx="89">
                  <c:v>0.5430564052287582</c:v>
                </c:pt>
                <c:pt idx="90">
                  <c:v>0.53009345751633985</c:v>
                </c:pt>
                <c:pt idx="91">
                  <c:v>0.51713050980392161</c:v>
                </c:pt>
                <c:pt idx="92">
                  <c:v>0.50416756209150326</c:v>
                </c:pt>
                <c:pt idx="93">
                  <c:v>0.49120461437908497</c:v>
                </c:pt>
                <c:pt idx="94">
                  <c:v>0.47824166666666673</c:v>
                </c:pt>
                <c:pt idx="95">
                  <c:v>0.46527871895424838</c:v>
                </c:pt>
                <c:pt idx="96">
                  <c:v>0.45231577124183009</c:v>
                </c:pt>
                <c:pt idx="97">
                  <c:v>0.4393528235294118</c:v>
                </c:pt>
                <c:pt idx="98">
                  <c:v>0.4263898758169935</c:v>
                </c:pt>
                <c:pt idx="99">
                  <c:v>0.41342692810457515</c:v>
                </c:pt>
                <c:pt idx="100">
                  <c:v>0.40046398039215692</c:v>
                </c:pt>
                <c:pt idx="101">
                  <c:v>0.38750103267973862</c:v>
                </c:pt>
                <c:pt idx="102">
                  <c:v>0.37453808496732033</c:v>
                </c:pt>
              </c:numCache>
            </c:numRef>
          </c:yVal>
          <c:smooth val="0"/>
          <c:extLst>
            <c:ext xmlns:c16="http://schemas.microsoft.com/office/drawing/2014/chart" uri="{C3380CC4-5D6E-409C-BE32-E72D297353CC}">
              <c16:uniqueId val="{00000003-C19A-44A0-A077-C4230272C2AD}"/>
            </c:ext>
          </c:extLst>
        </c:ser>
        <c:dLbls>
          <c:showLegendKey val="0"/>
          <c:showVal val="0"/>
          <c:showCatName val="0"/>
          <c:showSerName val="0"/>
          <c:showPercent val="0"/>
          <c:showBubbleSize val="0"/>
        </c:dLbls>
        <c:axId val="234894400"/>
        <c:axId val="234893824"/>
      </c:scatterChart>
      <c:valAx>
        <c:axId val="234890944"/>
        <c:scaling>
          <c:orientation val="minMax"/>
          <c:max val="42260"/>
          <c:min val="4215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891520"/>
        <c:crosses val="autoZero"/>
        <c:crossBetween val="midCat"/>
        <c:majorUnit val="7"/>
      </c:valAx>
      <c:valAx>
        <c:axId val="23489152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890944"/>
        <c:crosses val="autoZero"/>
        <c:crossBetween val="midCat"/>
      </c:valAx>
      <c:valAx>
        <c:axId val="234893824"/>
        <c:scaling>
          <c:orientation val="minMax"/>
        </c:scaling>
        <c:delete val="0"/>
        <c:axPos val="r"/>
        <c:title>
          <c:tx>
            <c:rich>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Crop</a:t>
                </a:r>
                <a:r>
                  <a:rPr lang="en-US" baseline="0"/>
                  <a:t> Coefficient</a:t>
                </a:r>
              </a:p>
            </c:rich>
          </c:tx>
          <c:layout>
            <c:manualLayout>
              <c:xMode val="edge"/>
              <c:yMode val="edge"/>
              <c:x val="0.86689918499847396"/>
              <c:y val="0.39855664816974107"/>
            </c:manualLayout>
          </c:layout>
          <c:overlay val="0"/>
          <c:spPr>
            <a:noFill/>
            <a:ln>
              <a:noFill/>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894400"/>
        <c:crosses val="max"/>
        <c:crossBetween val="midCat"/>
      </c:valAx>
      <c:valAx>
        <c:axId val="234894400"/>
        <c:scaling>
          <c:orientation val="minMax"/>
        </c:scaling>
        <c:delete val="1"/>
        <c:axPos val="b"/>
        <c:numFmt formatCode="m/d/yy;@" sourceLinked="1"/>
        <c:majorTickMark val="out"/>
        <c:minorTickMark val="none"/>
        <c:tickLblPos val="nextTo"/>
        <c:crossAx val="234893824"/>
        <c:crosses val="autoZero"/>
        <c:crossBetween val="midCat"/>
      </c:valAx>
      <c:spPr>
        <a:noFill/>
        <a:ln w="57150">
          <a:noFill/>
        </a:ln>
        <a:effectLst/>
      </c:spPr>
    </c:plotArea>
    <c:legend>
      <c:legendPos val="r"/>
      <c:layout>
        <c:manualLayout>
          <c:xMode val="edge"/>
          <c:yMode val="edge"/>
          <c:x val="0.89646643066705622"/>
          <c:y val="0.2520856495576268"/>
          <c:w val="0.10223278803137295"/>
          <c:h val="0.550970948186103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21</xdr:col>
      <xdr:colOff>67236</xdr:colOff>
      <xdr:row>41</xdr:row>
      <xdr:rowOff>78442</xdr:rowOff>
    </xdr:from>
    <xdr:to>
      <xdr:col>25</xdr:col>
      <xdr:colOff>582707</xdr:colOff>
      <xdr:row>61</xdr:row>
      <xdr:rowOff>97514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203207" y="8942295"/>
          <a:ext cx="2935941" cy="38626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60</xdr:col>
      <xdr:colOff>230579</xdr:colOff>
      <xdr:row>5</xdr:row>
      <xdr:rowOff>89647</xdr:rowOff>
    </xdr:from>
    <xdr:to>
      <xdr:col>76</xdr:col>
      <xdr:colOff>144075</xdr:colOff>
      <xdr:row>28</xdr:row>
      <xdr:rowOff>67235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60</xdr:col>
      <xdr:colOff>287797</xdr:colOff>
      <xdr:row>29</xdr:row>
      <xdr:rowOff>187138</xdr:rowOff>
    </xdr:from>
    <xdr:to>
      <xdr:col>76</xdr:col>
      <xdr:colOff>224118</xdr:colOff>
      <xdr:row>56</xdr:row>
      <xdr:rowOff>-1</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59</xdr:col>
      <xdr:colOff>508187</xdr:colOff>
      <xdr:row>61</xdr:row>
      <xdr:rowOff>34738</xdr:rowOff>
    </xdr:from>
    <xdr:to>
      <xdr:col>76</xdr:col>
      <xdr:colOff>192963</xdr:colOff>
      <xdr:row>82</xdr:row>
      <xdr:rowOff>79562</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33</xdr:col>
      <xdr:colOff>0</xdr:colOff>
      <xdr:row>117</xdr:row>
      <xdr:rowOff>0</xdr:rowOff>
    </xdr:from>
    <xdr:to>
      <xdr:col>37</xdr:col>
      <xdr:colOff>287110</xdr:colOff>
      <xdr:row>119</xdr:row>
      <xdr:rowOff>25254</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7097375" y="28946475"/>
          <a:ext cx="2725510" cy="406254"/>
        </a:xfrm>
        <a:prstGeom prst="rect">
          <a:avLst/>
        </a:prstGeom>
      </xdr:spPr>
    </xdr:pic>
    <xdr:clientData/>
  </xdr:twoCellAnchor>
  <xdr:twoCellAnchor>
    <xdr:from>
      <xdr:col>60</xdr:col>
      <xdr:colOff>70037</xdr:colOff>
      <xdr:row>79</xdr:row>
      <xdr:rowOff>109259</xdr:rowOff>
    </xdr:from>
    <xdr:to>
      <xdr:col>77</xdr:col>
      <xdr:colOff>511549</xdr:colOff>
      <xdr:row>100</xdr:row>
      <xdr:rowOff>154083</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91"/>
  <sheetViews>
    <sheetView tabSelected="1" zoomScale="85" zoomScaleNormal="85" workbookViewId="0">
      <selection activeCell="A3" sqref="A3:A37"/>
    </sheetView>
  </sheetViews>
  <sheetFormatPr defaultRowHeight="15" x14ac:dyDescent="0.25"/>
  <cols>
    <col min="1" max="1" width="17.28515625" customWidth="1"/>
    <col min="2" max="2" width="20.5703125" bestFit="1" customWidth="1"/>
    <col min="3" max="3" width="20.5703125" style="113" customWidth="1"/>
    <col min="4" max="4" width="16.7109375" customWidth="1"/>
    <col min="5" max="5" width="9.140625" style="5"/>
    <col min="11" max="11" width="11.140625" customWidth="1"/>
    <col min="12" max="12" width="10.42578125" customWidth="1"/>
    <col min="13" max="13" width="10.28515625" customWidth="1"/>
    <col min="14" max="15" width="10.42578125" customWidth="1"/>
    <col min="16" max="16" width="10" customWidth="1"/>
    <col min="17" max="17" width="10.28515625" customWidth="1"/>
    <col min="18" max="18" width="10.28515625" style="21" bestFit="1" customWidth="1"/>
    <col min="19" max="19" width="12.7109375" customWidth="1"/>
  </cols>
  <sheetData>
    <row r="1" spans="1:20" x14ac:dyDescent="0.25">
      <c r="D1" s="180" t="s">
        <v>265</v>
      </c>
      <c r="E1" s="181"/>
      <c r="F1" s="181"/>
      <c r="G1" s="182"/>
      <c r="H1" s="181"/>
      <c r="I1" s="181"/>
      <c r="J1" s="179" t="s">
        <v>264</v>
      </c>
      <c r="K1" s="179"/>
      <c r="L1" s="179"/>
      <c r="M1" s="179"/>
      <c r="N1" s="179"/>
    </row>
    <row r="2" spans="1:20" ht="90" x14ac:dyDescent="0.25">
      <c r="A2" s="2" t="s">
        <v>223</v>
      </c>
      <c r="B2" s="128" t="s">
        <v>224</v>
      </c>
      <c r="C2" s="129" t="s">
        <v>293</v>
      </c>
      <c r="D2" s="2" t="s">
        <v>225</v>
      </c>
      <c r="E2" s="2" t="s">
        <v>262</v>
      </c>
      <c r="F2" s="2" t="s">
        <v>226</v>
      </c>
      <c r="G2" s="127" t="s">
        <v>227</v>
      </c>
      <c r="H2" s="130" t="s">
        <v>300</v>
      </c>
      <c r="I2" s="2" t="s">
        <v>228</v>
      </c>
      <c r="J2" s="2" t="s">
        <v>229</v>
      </c>
      <c r="K2" s="70" t="s">
        <v>230</v>
      </c>
      <c r="L2" s="71" t="s">
        <v>231</v>
      </c>
      <c r="M2" s="2" t="s">
        <v>232</v>
      </c>
      <c r="N2" s="134" t="s">
        <v>233</v>
      </c>
      <c r="O2" s="72" t="s">
        <v>234</v>
      </c>
      <c r="P2" s="2" t="s">
        <v>261</v>
      </c>
      <c r="Q2" s="70" t="s">
        <v>315</v>
      </c>
      <c r="R2" s="128" t="s">
        <v>292</v>
      </c>
      <c r="T2" s="2" t="s">
        <v>235</v>
      </c>
    </row>
    <row r="3" spans="1:20" s="92" customFormat="1" ht="16.5" customHeight="1" thickBot="1" x14ac:dyDescent="0.3">
      <c r="A3" s="191" t="s">
        <v>379</v>
      </c>
      <c r="B3" s="109" t="s">
        <v>169</v>
      </c>
      <c r="C3" s="114">
        <v>1</v>
      </c>
      <c r="D3" s="92" t="s">
        <v>236</v>
      </c>
      <c r="E3" s="94" t="s">
        <v>263</v>
      </c>
      <c r="F3" s="95">
        <v>2</v>
      </c>
      <c r="G3" s="95">
        <f>F3*3.28</f>
        <v>6.56</v>
      </c>
      <c r="H3" s="109">
        <f>G3*C3</f>
        <v>6.56</v>
      </c>
      <c r="I3" s="95">
        <f>H3*12</f>
        <v>78.72</v>
      </c>
      <c r="J3" s="96" t="s">
        <v>237</v>
      </c>
      <c r="K3" s="97">
        <v>1</v>
      </c>
      <c r="L3" s="98">
        <v>0.08</v>
      </c>
      <c r="M3" s="95">
        <f>L3*K3</f>
        <v>0.08</v>
      </c>
      <c r="N3" s="99">
        <f>M3*12</f>
        <v>0.96</v>
      </c>
      <c r="O3" s="120" t="s">
        <v>238</v>
      </c>
      <c r="P3" s="95">
        <v>0.55000000000000004</v>
      </c>
      <c r="Q3" s="101">
        <v>0.55000000000000004</v>
      </c>
      <c r="R3" s="114">
        <f>Q3</f>
        <v>0.55000000000000004</v>
      </c>
      <c r="T3" s="100" t="s">
        <v>239</v>
      </c>
    </row>
    <row r="4" spans="1:20" s="92" customFormat="1" ht="15.75" thickBot="1" x14ac:dyDescent="0.3">
      <c r="A4" s="191" t="s">
        <v>379</v>
      </c>
      <c r="B4" s="109" t="s">
        <v>240</v>
      </c>
      <c r="C4" s="114">
        <v>1</v>
      </c>
      <c r="E4" s="94" t="s">
        <v>263</v>
      </c>
      <c r="F4" s="95">
        <v>1</v>
      </c>
      <c r="G4" s="95">
        <f>F4*3.28</f>
        <v>3.28</v>
      </c>
      <c r="H4" s="109">
        <f t="shared" ref="H4:H31" si="0">G4*C4</f>
        <v>3.28</v>
      </c>
      <c r="I4" s="95">
        <f t="shared" ref="I4:I6" si="1">H4*12</f>
        <v>39.36</v>
      </c>
      <c r="J4" s="95" t="s">
        <v>241</v>
      </c>
      <c r="K4" s="101">
        <v>1</v>
      </c>
      <c r="L4" s="102">
        <v>0.17</v>
      </c>
      <c r="M4" s="95">
        <f t="shared" ref="M4" si="2">L4*K4</f>
        <v>0.17</v>
      </c>
      <c r="N4" s="103">
        <f t="shared" ref="N4:N32" si="3">M4*12</f>
        <v>2.04</v>
      </c>
      <c r="O4" s="120">
        <v>50</v>
      </c>
      <c r="P4" s="95">
        <v>0.5</v>
      </c>
      <c r="Q4" s="101">
        <v>0.5</v>
      </c>
      <c r="R4" s="114">
        <f>Q4</f>
        <v>0.5</v>
      </c>
    </row>
    <row r="5" spans="1:20" s="92" customFormat="1" ht="15.75" thickBot="1" x14ac:dyDescent="0.3">
      <c r="A5" s="191" t="s">
        <v>379</v>
      </c>
      <c r="B5" s="109" t="s">
        <v>242</v>
      </c>
      <c r="C5" s="114">
        <v>1</v>
      </c>
      <c r="D5" s="92" t="s">
        <v>243</v>
      </c>
      <c r="E5" s="94" t="s">
        <v>266</v>
      </c>
      <c r="F5" s="95">
        <v>1.2</v>
      </c>
      <c r="G5" s="95">
        <v>2</v>
      </c>
      <c r="H5" s="109">
        <f t="shared" si="0"/>
        <v>2</v>
      </c>
      <c r="I5" s="95">
        <f t="shared" si="1"/>
        <v>24</v>
      </c>
      <c r="J5" s="95" t="s">
        <v>244</v>
      </c>
      <c r="K5" s="101">
        <v>1</v>
      </c>
      <c r="L5" s="102">
        <v>0.06</v>
      </c>
      <c r="M5" s="95">
        <v>0.1</v>
      </c>
      <c r="N5" s="103">
        <f t="shared" si="3"/>
        <v>1.2000000000000002</v>
      </c>
      <c r="O5" s="120" t="s">
        <v>245</v>
      </c>
      <c r="P5" s="95">
        <v>0.3</v>
      </c>
      <c r="Q5" s="101">
        <v>0.3</v>
      </c>
      <c r="R5" s="114">
        <f>Q5</f>
        <v>0.3</v>
      </c>
    </row>
    <row r="6" spans="1:20" s="8" customFormat="1" x14ac:dyDescent="0.25">
      <c r="A6" s="192" t="s">
        <v>379</v>
      </c>
      <c r="B6" s="110" t="s">
        <v>242</v>
      </c>
      <c r="C6" s="115">
        <v>1</v>
      </c>
      <c r="D6" s="8" t="s">
        <v>243</v>
      </c>
      <c r="E6" s="104" t="s">
        <v>266</v>
      </c>
      <c r="F6" s="105">
        <v>1.2</v>
      </c>
      <c r="G6" s="105">
        <v>2</v>
      </c>
      <c r="H6" s="110">
        <f t="shared" si="0"/>
        <v>2</v>
      </c>
      <c r="I6" s="105">
        <f t="shared" si="1"/>
        <v>24</v>
      </c>
      <c r="J6" s="105" t="s">
        <v>246</v>
      </c>
      <c r="K6" s="106">
        <v>0.35899999999999999</v>
      </c>
      <c r="L6" s="107">
        <v>0.19</v>
      </c>
      <c r="M6" s="105">
        <f>(L6*K6+L7*K7+L8*K8)/1</f>
        <v>0.13186999999999999</v>
      </c>
      <c r="N6" s="91">
        <f t="shared" si="3"/>
        <v>1.5824399999999998</v>
      </c>
      <c r="O6" s="121" t="s">
        <v>245</v>
      </c>
      <c r="P6" s="105">
        <v>0.3</v>
      </c>
      <c r="Q6" s="106">
        <v>0.3</v>
      </c>
      <c r="R6" s="115">
        <f>Q6</f>
        <v>0.3</v>
      </c>
    </row>
    <row r="7" spans="1:20" s="8" customFormat="1" x14ac:dyDescent="0.25">
      <c r="A7" s="177"/>
      <c r="B7" s="110"/>
      <c r="C7" s="115"/>
      <c r="E7" s="104"/>
      <c r="F7" s="105"/>
      <c r="G7" s="105"/>
      <c r="H7" s="110"/>
      <c r="I7" s="105"/>
      <c r="J7" s="105" t="s">
        <v>237</v>
      </c>
      <c r="K7" s="106">
        <v>0.58799999999999997</v>
      </c>
      <c r="L7" s="107">
        <v>0.1</v>
      </c>
      <c r="M7" s="105"/>
      <c r="N7" s="108"/>
      <c r="O7" s="121"/>
      <c r="P7" s="105"/>
      <c r="Q7" s="106"/>
      <c r="R7" s="115"/>
    </row>
    <row r="8" spans="1:20" s="92" customFormat="1" ht="15.75" thickBot="1" x14ac:dyDescent="0.3">
      <c r="A8" s="178"/>
      <c r="B8" s="109"/>
      <c r="C8" s="114"/>
      <c r="E8" s="94"/>
      <c r="F8" s="95"/>
      <c r="G8" s="95"/>
      <c r="H8" s="109"/>
      <c r="I8" s="95"/>
      <c r="J8" s="95" t="s">
        <v>247</v>
      </c>
      <c r="K8" s="101">
        <v>5.3999999999999999E-2</v>
      </c>
      <c r="L8" s="102">
        <v>0.09</v>
      </c>
      <c r="M8" s="95"/>
      <c r="N8" s="99"/>
      <c r="O8" s="120"/>
      <c r="P8" s="95"/>
      <c r="Q8" s="101"/>
      <c r="R8" s="114"/>
    </row>
    <row r="9" spans="1:20" s="92" customFormat="1" ht="15.75" thickBot="1" x14ac:dyDescent="0.3">
      <c r="A9" s="191" t="s">
        <v>379</v>
      </c>
      <c r="B9" s="109" t="s">
        <v>242</v>
      </c>
      <c r="C9" s="114">
        <v>1</v>
      </c>
      <c r="D9" s="92" t="s">
        <v>243</v>
      </c>
      <c r="E9" s="94" t="s">
        <v>266</v>
      </c>
      <c r="F9" s="95">
        <v>1.2</v>
      </c>
      <c r="G9" s="95">
        <v>2</v>
      </c>
      <c r="H9" s="109">
        <f t="shared" si="0"/>
        <v>2</v>
      </c>
      <c r="I9" s="95">
        <f>H9*12</f>
        <v>24</v>
      </c>
      <c r="J9" s="95" t="s">
        <v>248</v>
      </c>
      <c r="K9" s="101">
        <v>1</v>
      </c>
      <c r="L9" s="102">
        <v>0.1</v>
      </c>
      <c r="M9" s="95">
        <f>L9*K9</f>
        <v>0.1</v>
      </c>
      <c r="N9" s="103">
        <f t="shared" si="3"/>
        <v>1.2000000000000002</v>
      </c>
      <c r="O9" s="120" t="s">
        <v>245</v>
      </c>
      <c r="P9" s="95">
        <v>0.3</v>
      </c>
      <c r="Q9" s="101">
        <v>0.3</v>
      </c>
      <c r="R9" s="114">
        <f>Q9</f>
        <v>0.3</v>
      </c>
    </row>
    <row r="10" spans="1:20" s="8" customFormat="1" x14ac:dyDescent="0.25">
      <c r="A10" s="193" t="s">
        <v>379</v>
      </c>
      <c r="B10" s="111" t="s">
        <v>287</v>
      </c>
      <c r="C10" s="116">
        <v>0.51</v>
      </c>
      <c r="E10" s="104" t="s">
        <v>263</v>
      </c>
      <c r="F10" s="105">
        <v>1</v>
      </c>
      <c r="G10" s="105">
        <f t="shared" ref="G10:G37" si="4">F10*3.28</f>
        <v>3.28</v>
      </c>
      <c r="H10" s="110">
        <f>G10*C10+G11*C11</f>
        <v>4.0835999999999997</v>
      </c>
      <c r="I10" s="105">
        <f t="shared" ref="I10:I14" si="5">H10*12</f>
        <v>49.003199999999993</v>
      </c>
      <c r="J10" s="105" t="s">
        <v>249</v>
      </c>
      <c r="K10" s="106">
        <v>1</v>
      </c>
      <c r="L10" s="107">
        <v>0.18</v>
      </c>
      <c r="M10" s="105">
        <f t="shared" ref="M10:M16" si="6">L10*K10</f>
        <v>0.18</v>
      </c>
      <c r="N10" s="91">
        <f t="shared" si="3"/>
        <v>2.16</v>
      </c>
      <c r="O10" s="121" t="s">
        <v>245</v>
      </c>
      <c r="P10" s="105">
        <v>0.5</v>
      </c>
      <c r="Q10" s="106">
        <v>0.5</v>
      </c>
      <c r="R10" s="115">
        <f>Q10*C10+Q11*C11</f>
        <v>0.54899999999999993</v>
      </c>
    </row>
    <row r="11" spans="1:20" s="92" customFormat="1" ht="15.75" thickBot="1" x14ac:dyDescent="0.3">
      <c r="B11" s="109" t="s">
        <v>250</v>
      </c>
      <c r="C11" s="114">
        <v>0.49</v>
      </c>
      <c r="E11" s="94" t="s">
        <v>280</v>
      </c>
      <c r="F11" s="95">
        <v>1.5</v>
      </c>
      <c r="G11" s="95">
        <f t="shared" si="4"/>
        <v>4.92</v>
      </c>
      <c r="H11" s="109"/>
      <c r="I11" s="95"/>
      <c r="J11" s="95"/>
      <c r="K11" s="101"/>
      <c r="L11" s="102"/>
      <c r="M11" s="95"/>
      <c r="N11" s="99"/>
      <c r="O11" s="120">
        <v>50</v>
      </c>
      <c r="P11" s="95">
        <v>0.6</v>
      </c>
      <c r="Q11" s="101">
        <v>0.6</v>
      </c>
      <c r="R11" s="114"/>
    </row>
    <row r="12" spans="1:20" s="92" customFormat="1" ht="15.75" thickBot="1" x14ac:dyDescent="0.3">
      <c r="A12" s="191" t="s">
        <v>379</v>
      </c>
      <c r="B12" s="109" t="s">
        <v>250</v>
      </c>
      <c r="C12" s="114">
        <v>1</v>
      </c>
      <c r="E12" s="94" t="s">
        <v>280</v>
      </c>
      <c r="F12" s="95">
        <v>1.5</v>
      </c>
      <c r="G12" s="95">
        <f t="shared" si="4"/>
        <v>4.92</v>
      </c>
      <c r="H12" s="109">
        <f t="shared" si="0"/>
        <v>4.92</v>
      </c>
      <c r="I12" s="95">
        <f t="shared" si="5"/>
        <v>59.04</v>
      </c>
      <c r="J12" s="95" t="s">
        <v>237</v>
      </c>
      <c r="K12" s="101">
        <v>1</v>
      </c>
      <c r="L12" s="102">
        <v>0.1</v>
      </c>
      <c r="M12" s="95">
        <f t="shared" si="6"/>
        <v>0.1</v>
      </c>
      <c r="N12" s="103">
        <f t="shared" si="3"/>
        <v>1.2000000000000002</v>
      </c>
      <c r="O12" s="120">
        <v>50</v>
      </c>
      <c r="P12" s="95">
        <v>0.6</v>
      </c>
      <c r="Q12" s="101">
        <v>0.6</v>
      </c>
      <c r="R12" s="114">
        <f>Q12</f>
        <v>0.6</v>
      </c>
    </row>
    <row r="13" spans="1:20" s="92" customFormat="1" ht="15.75" thickBot="1" x14ac:dyDescent="0.3">
      <c r="A13" s="191" t="s">
        <v>379</v>
      </c>
      <c r="B13" s="109" t="s">
        <v>242</v>
      </c>
      <c r="C13" s="114">
        <v>1</v>
      </c>
      <c r="D13" s="92" t="s">
        <v>243</v>
      </c>
      <c r="E13" s="94" t="s">
        <v>266</v>
      </c>
      <c r="F13" s="95">
        <v>1.2</v>
      </c>
      <c r="G13" s="95">
        <v>2</v>
      </c>
      <c r="H13" s="109">
        <f t="shared" si="0"/>
        <v>2</v>
      </c>
      <c r="I13" s="95">
        <f t="shared" si="5"/>
        <v>24</v>
      </c>
      <c r="J13" s="95" t="s">
        <v>247</v>
      </c>
      <c r="K13" s="101">
        <v>1</v>
      </c>
      <c r="L13" s="102">
        <v>0.09</v>
      </c>
      <c r="M13" s="95">
        <f t="shared" si="6"/>
        <v>0.09</v>
      </c>
      <c r="N13" s="103">
        <f t="shared" si="3"/>
        <v>1.08</v>
      </c>
      <c r="O13" s="120" t="s">
        <v>245</v>
      </c>
      <c r="P13" s="95">
        <v>0.3</v>
      </c>
      <c r="Q13" s="101">
        <v>0.3</v>
      </c>
      <c r="R13" s="114">
        <f>Q13</f>
        <v>0.3</v>
      </c>
    </row>
    <row r="14" spans="1:20" s="8" customFormat="1" x14ac:dyDescent="0.25">
      <c r="A14" s="193" t="s">
        <v>379</v>
      </c>
      <c r="B14" s="111" t="s">
        <v>288</v>
      </c>
      <c r="C14" s="116">
        <v>0.16</v>
      </c>
      <c r="D14" s="8" t="s">
        <v>251</v>
      </c>
      <c r="E14" s="104" t="s">
        <v>290</v>
      </c>
      <c r="F14" s="105">
        <v>1.7</v>
      </c>
      <c r="G14" s="105">
        <f t="shared" si="4"/>
        <v>5.5759999999999996</v>
      </c>
      <c r="H14" s="110">
        <f>G14*C14+G15*C15</f>
        <v>5.0249599999999992</v>
      </c>
      <c r="I14" s="105">
        <f t="shared" si="5"/>
        <v>60.299519999999987</v>
      </c>
      <c r="J14" s="105" t="s">
        <v>252</v>
      </c>
      <c r="K14" s="106">
        <v>1</v>
      </c>
      <c r="L14" s="107">
        <v>0.18</v>
      </c>
      <c r="M14" s="105">
        <f t="shared" si="6"/>
        <v>0.18</v>
      </c>
      <c r="N14" s="91">
        <f t="shared" si="3"/>
        <v>2.16</v>
      </c>
      <c r="O14" s="121" t="s">
        <v>253</v>
      </c>
      <c r="P14" s="105">
        <v>0.55000000000000004</v>
      </c>
      <c r="Q14" s="106">
        <v>0.55000000000000004</v>
      </c>
      <c r="R14" s="115">
        <f>Q14</f>
        <v>0.55000000000000004</v>
      </c>
    </row>
    <row r="15" spans="1:20" s="92" customFormat="1" ht="15.75" thickBot="1" x14ac:dyDescent="0.3">
      <c r="B15" s="112" t="s">
        <v>289</v>
      </c>
      <c r="C15" s="117">
        <v>0.84</v>
      </c>
      <c r="E15" s="94" t="s">
        <v>291</v>
      </c>
      <c r="F15" s="95">
        <v>1.5</v>
      </c>
      <c r="G15" s="95">
        <f t="shared" si="4"/>
        <v>4.92</v>
      </c>
      <c r="H15" s="109"/>
      <c r="I15" s="95"/>
      <c r="J15" s="95"/>
      <c r="K15" s="101"/>
      <c r="L15" s="102"/>
      <c r="M15" s="95"/>
      <c r="N15" s="99"/>
      <c r="O15" s="120"/>
      <c r="P15" s="95">
        <v>0.55000000000000004</v>
      </c>
      <c r="Q15" s="101">
        <v>0.55000000000000004</v>
      </c>
      <c r="R15" s="114"/>
    </row>
    <row r="16" spans="1:20" s="8" customFormat="1" x14ac:dyDescent="0.25">
      <c r="A16" s="193" t="s">
        <v>379</v>
      </c>
      <c r="B16" s="111" t="s">
        <v>288</v>
      </c>
      <c r="C16" s="116">
        <v>0.35</v>
      </c>
      <c r="D16" s="8" t="s">
        <v>254</v>
      </c>
      <c r="E16" s="104" t="s">
        <v>290</v>
      </c>
      <c r="F16" s="105">
        <v>1.7</v>
      </c>
      <c r="G16" s="105">
        <f t="shared" si="4"/>
        <v>5.5759999999999996</v>
      </c>
      <c r="H16" s="110">
        <f>G16*C16+G17*C17+G18*C18+G19*C19</f>
        <v>3.9219999999999997</v>
      </c>
      <c r="I16" s="105">
        <f>H16*12</f>
        <v>47.063999999999993</v>
      </c>
      <c r="J16" s="105" t="s">
        <v>252</v>
      </c>
      <c r="K16" s="106">
        <v>1</v>
      </c>
      <c r="L16" s="107">
        <v>0.18</v>
      </c>
      <c r="M16" s="105">
        <f t="shared" si="6"/>
        <v>0.18</v>
      </c>
      <c r="N16" s="91">
        <f t="shared" si="3"/>
        <v>2.16</v>
      </c>
      <c r="O16" s="121" t="s">
        <v>255</v>
      </c>
      <c r="P16" s="105">
        <v>0.55000000000000004</v>
      </c>
      <c r="Q16" s="106">
        <v>0.55000000000000004</v>
      </c>
      <c r="R16" s="115">
        <f>Q16*C16+Q17*C17+Q18*C18+Q19*C19</f>
        <v>0.48000000000000004</v>
      </c>
    </row>
    <row r="17" spans="1:18" s="8" customFormat="1" x14ac:dyDescent="0.25">
      <c r="B17" s="111" t="s">
        <v>169</v>
      </c>
      <c r="C17" s="116">
        <v>0.25</v>
      </c>
      <c r="D17" s="8" t="s">
        <v>236</v>
      </c>
      <c r="E17" s="105" t="s">
        <v>263</v>
      </c>
      <c r="F17" s="105">
        <v>1</v>
      </c>
      <c r="G17" s="105">
        <f>F17*3.28</f>
        <v>3.28</v>
      </c>
      <c r="H17" s="110"/>
      <c r="I17" s="105"/>
      <c r="J17" s="105"/>
      <c r="K17" s="106"/>
      <c r="L17" s="107"/>
      <c r="M17" s="105"/>
      <c r="N17" s="108"/>
      <c r="O17" s="121" t="s">
        <v>238</v>
      </c>
      <c r="P17" s="105">
        <v>0.55000000000000004</v>
      </c>
      <c r="Q17" s="106">
        <v>0.55000000000000004</v>
      </c>
      <c r="R17" s="115"/>
    </row>
    <row r="18" spans="1:18" s="8" customFormat="1" x14ac:dyDescent="0.25">
      <c r="B18" s="111" t="s">
        <v>307</v>
      </c>
      <c r="C18" s="116">
        <v>0.12</v>
      </c>
      <c r="E18" s="104" t="s">
        <v>291</v>
      </c>
      <c r="F18" s="105">
        <v>1.5</v>
      </c>
      <c r="G18" s="105">
        <f>F18*3.28</f>
        <v>4.92</v>
      </c>
      <c r="H18" s="110"/>
      <c r="I18" s="105"/>
      <c r="J18" s="105"/>
      <c r="K18" s="106"/>
      <c r="L18" s="107"/>
      <c r="M18" s="105"/>
      <c r="N18" s="108"/>
      <c r="O18" s="121"/>
      <c r="P18" s="105">
        <v>0.55000000000000004</v>
      </c>
      <c r="Q18" s="106">
        <v>0.55000000000000004</v>
      </c>
      <c r="R18" s="115"/>
    </row>
    <row r="19" spans="1:18" s="92" customFormat="1" ht="15.75" thickBot="1" x14ac:dyDescent="0.3">
      <c r="B19" s="112" t="s">
        <v>242</v>
      </c>
      <c r="C19" s="117">
        <v>0.28000000000000003</v>
      </c>
      <c r="D19" s="92" t="s">
        <v>243</v>
      </c>
      <c r="E19" s="94" t="s">
        <v>266</v>
      </c>
      <c r="F19" s="95"/>
      <c r="G19" s="95">
        <v>2</v>
      </c>
      <c r="H19" s="109"/>
      <c r="I19" s="95"/>
      <c r="J19" s="95"/>
      <c r="K19" s="101"/>
      <c r="L19" s="102"/>
      <c r="M19" s="95"/>
      <c r="N19" s="99"/>
      <c r="O19" s="120" t="s">
        <v>238</v>
      </c>
      <c r="P19" s="95">
        <v>0.3</v>
      </c>
      <c r="Q19" s="101">
        <v>0.3</v>
      </c>
      <c r="R19" s="114"/>
    </row>
    <row r="20" spans="1:18" s="8" customFormat="1" x14ac:dyDescent="0.25">
      <c r="A20" s="193" t="s">
        <v>379</v>
      </c>
      <c r="B20" s="110" t="s">
        <v>250</v>
      </c>
      <c r="C20" s="115">
        <v>1</v>
      </c>
      <c r="E20" s="104" t="s">
        <v>280</v>
      </c>
      <c r="F20" s="105">
        <v>1.5</v>
      </c>
      <c r="G20" s="105">
        <f t="shared" si="4"/>
        <v>4.92</v>
      </c>
      <c r="H20" s="110">
        <f t="shared" si="0"/>
        <v>4.92</v>
      </c>
      <c r="I20" s="105">
        <f>H20*12</f>
        <v>59.04</v>
      </c>
      <c r="J20" s="105" t="s">
        <v>244</v>
      </c>
      <c r="K20" s="106">
        <v>0.33</v>
      </c>
      <c r="L20" s="107">
        <v>0.06</v>
      </c>
      <c r="M20" s="105">
        <f>(L20*K20+L21*K21)</f>
        <v>0.13370000000000001</v>
      </c>
      <c r="N20" s="91">
        <f t="shared" si="3"/>
        <v>1.6044</v>
      </c>
      <c r="O20" s="121">
        <v>50</v>
      </c>
      <c r="P20" s="105">
        <v>0.6</v>
      </c>
      <c r="Q20" s="106">
        <v>0.6</v>
      </c>
      <c r="R20" s="115">
        <f>Q20</f>
        <v>0.6</v>
      </c>
    </row>
    <row r="21" spans="1:18" s="92" customFormat="1" ht="15.75" thickBot="1" x14ac:dyDescent="0.3">
      <c r="B21" s="109"/>
      <c r="C21" s="114"/>
      <c r="E21" s="94"/>
      <c r="F21" s="95"/>
      <c r="G21" s="95"/>
      <c r="H21" s="109"/>
      <c r="I21" s="95"/>
      <c r="J21" s="95" t="s">
        <v>256</v>
      </c>
      <c r="K21" s="101">
        <v>0.67</v>
      </c>
      <c r="L21" s="102">
        <v>0.17</v>
      </c>
      <c r="M21" s="95"/>
      <c r="N21" s="99"/>
      <c r="O21" s="120"/>
      <c r="P21" s="95"/>
      <c r="Q21" s="101"/>
      <c r="R21" s="114"/>
    </row>
    <row r="22" spans="1:18" s="8" customFormat="1" x14ac:dyDescent="0.25">
      <c r="A22" s="193" t="s">
        <v>379</v>
      </c>
      <c r="B22" s="110" t="s">
        <v>240</v>
      </c>
      <c r="C22" s="115">
        <v>1</v>
      </c>
      <c r="E22" s="104" t="s">
        <v>263</v>
      </c>
      <c r="F22" s="105">
        <v>1</v>
      </c>
      <c r="G22" s="105">
        <f t="shared" si="4"/>
        <v>3.28</v>
      </c>
      <c r="H22" s="110">
        <f t="shared" si="0"/>
        <v>3.28</v>
      </c>
      <c r="I22" s="105">
        <f>H22*12</f>
        <v>39.36</v>
      </c>
      <c r="J22" s="105" t="s">
        <v>244</v>
      </c>
      <c r="K22" s="106">
        <v>0.82099999999999995</v>
      </c>
      <c r="L22" s="107">
        <v>7.0000000000000007E-2</v>
      </c>
      <c r="M22" s="105">
        <f>(L22*K22+L23*K23)</f>
        <v>8.7900000000000006E-2</v>
      </c>
      <c r="N22" s="91">
        <f t="shared" si="3"/>
        <v>1.0548000000000002</v>
      </c>
      <c r="O22" s="121">
        <v>50</v>
      </c>
      <c r="P22" s="105">
        <v>0.5</v>
      </c>
      <c r="Q22" s="106">
        <v>0.5</v>
      </c>
      <c r="R22" s="115">
        <f>Q22</f>
        <v>0.5</v>
      </c>
    </row>
    <row r="23" spans="1:18" s="92" customFormat="1" ht="15.75" thickBot="1" x14ac:dyDescent="0.3">
      <c r="B23" s="109"/>
      <c r="C23" s="114"/>
      <c r="E23" s="94"/>
      <c r="F23" s="95"/>
      <c r="G23" s="95"/>
      <c r="H23" s="109"/>
      <c r="I23" s="95"/>
      <c r="J23" s="95" t="s">
        <v>256</v>
      </c>
      <c r="K23" s="101">
        <v>0.17899999999999999</v>
      </c>
      <c r="L23" s="102">
        <v>0.17</v>
      </c>
      <c r="M23" s="95"/>
      <c r="N23" s="99"/>
      <c r="O23" s="120"/>
      <c r="P23" s="95"/>
      <c r="Q23" s="101"/>
      <c r="R23" s="114"/>
    </row>
    <row r="24" spans="1:18" s="8" customFormat="1" x14ac:dyDescent="0.25">
      <c r="A24" s="193" t="s">
        <v>379</v>
      </c>
      <c r="B24" s="110" t="s">
        <v>169</v>
      </c>
      <c r="C24" s="115">
        <v>1</v>
      </c>
      <c r="D24" s="8" t="s">
        <v>236</v>
      </c>
      <c r="E24" s="104" t="s">
        <v>263</v>
      </c>
      <c r="F24" s="105">
        <v>2</v>
      </c>
      <c r="G24" s="105">
        <f t="shared" si="4"/>
        <v>6.56</v>
      </c>
      <c r="H24" s="110">
        <f t="shared" si="0"/>
        <v>6.56</v>
      </c>
      <c r="I24" s="105">
        <f>H24*12</f>
        <v>78.72</v>
      </c>
      <c r="J24" s="105" t="s">
        <v>252</v>
      </c>
      <c r="K24" s="106">
        <v>0.44500000000000001</v>
      </c>
      <c r="L24" s="107">
        <v>0.18</v>
      </c>
      <c r="M24" s="105">
        <f>(L24*K24+L25*K25)</f>
        <v>0.17445000000000002</v>
      </c>
      <c r="N24" s="91">
        <f t="shared" si="3"/>
        <v>2.0934000000000004</v>
      </c>
      <c r="O24" s="121" t="s">
        <v>238</v>
      </c>
      <c r="P24" s="105">
        <v>0.55000000000000004</v>
      </c>
      <c r="Q24" s="106">
        <v>0.55000000000000004</v>
      </c>
      <c r="R24" s="115">
        <f>Q24</f>
        <v>0.55000000000000004</v>
      </c>
    </row>
    <row r="25" spans="1:18" s="92" customFormat="1" ht="15.75" thickBot="1" x14ac:dyDescent="0.3">
      <c r="B25" s="109"/>
      <c r="C25" s="114"/>
      <c r="E25" s="94"/>
      <c r="F25" s="95"/>
      <c r="G25" s="95"/>
      <c r="H25" s="109"/>
      <c r="I25" s="95"/>
      <c r="J25" s="95" t="s">
        <v>256</v>
      </c>
      <c r="K25" s="101">
        <v>0.55500000000000005</v>
      </c>
      <c r="L25" s="102">
        <v>0.17</v>
      </c>
      <c r="M25" s="95"/>
      <c r="N25" s="99"/>
      <c r="O25" s="120"/>
      <c r="P25" s="95"/>
      <c r="Q25" s="101"/>
      <c r="R25" s="114"/>
    </row>
    <row r="26" spans="1:18" s="8" customFormat="1" x14ac:dyDescent="0.25">
      <c r="A26" s="193" t="s">
        <v>379</v>
      </c>
      <c r="B26" s="110" t="s">
        <v>169</v>
      </c>
      <c r="C26" s="115">
        <v>1</v>
      </c>
      <c r="D26" s="8" t="s">
        <v>236</v>
      </c>
      <c r="E26" s="104" t="s">
        <v>263</v>
      </c>
      <c r="F26" s="105">
        <v>2</v>
      </c>
      <c r="G26" s="105">
        <f t="shared" si="4"/>
        <v>6.56</v>
      </c>
      <c r="H26" s="110">
        <f t="shared" si="0"/>
        <v>6.56</v>
      </c>
      <c r="I26" s="105">
        <f>H26*12</f>
        <v>78.72</v>
      </c>
      <c r="J26" s="105" t="s">
        <v>257</v>
      </c>
      <c r="K26" s="106">
        <v>0.754</v>
      </c>
      <c r="L26" s="107">
        <v>0.16</v>
      </c>
      <c r="M26" s="105">
        <f>(L26*K26+L27*K27)</f>
        <v>0.16144</v>
      </c>
      <c r="N26" s="91">
        <f t="shared" si="3"/>
        <v>1.9372799999999999</v>
      </c>
      <c r="O26" s="121" t="s">
        <v>238</v>
      </c>
      <c r="P26" s="105">
        <v>0.55000000000000004</v>
      </c>
      <c r="Q26" s="106">
        <v>0.55000000000000004</v>
      </c>
      <c r="R26" s="115">
        <f>Q26</f>
        <v>0.55000000000000004</v>
      </c>
    </row>
    <row r="27" spans="1:18" s="92" customFormat="1" ht="15.75" thickBot="1" x14ac:dyDescent="0.3">
      <c r="B27" s="109"/>
      <c r="C27" s="114"/>
      <c r="E27" s="94"/>
      <c r="F27" s="95"/>
      <c r="G27" s="95"/>
      <c r="H27" s="109"/>
      <c r="I27" s="95"/>
      <c r="J27" s="95" t="s">
        <v>256</v>
      </c>
      <c r="K27" s="101">
        <v>0.24</v>
      </c>
      <c r="L27" s="102">
        <v>0.17</v>
      </c>
      <c r="M27" s="95"/>
      <c r="N27" s="99"/>
      <c r="O27" s="120"/>
      <c r="P27" s="95"/>
      <c r="Q27" s="101"/>
      <c r="R27" s="114"/>
    </row>
    <row r="28" spans="1:18" s="92" customFormat="1" ht="15.75" thickBot="1" x14ac:dyDescent="0.3">
      <c r="A28" s="191" t="s">
        <v>379</v>
      </c>
      <c r="B28" s="109" t="s">
        <v>250</v>
      </c>
      <c r="C28" s="114">
        <v>1</v>
      </c>
      <c r="E28" s="94" t="s">
        <v>280</v>
      </c>
      <c r="F28" s="95">
        <v>1.5</v>
      </c>
      <c r="G28" s="95">
        <f t="shared" si="4"/>
        <v>4.92</v>
      </c>
      <c r="H28" s="109">
        <f t="shared" si="0"/>
        <v>4.92</v>
      </c>
      <c r="I28" s="95">
        <f>H28*12</f>
        <v>59.04</v>
      </c>
      <c r="J28" s="95" t="s">
        <v>252</v>
      </c>
      <c r="K28" s="101">
        <v>1</v>
      </c>
      <c r="L28" s="102">
        <v>0.18</v>
      </c>
      <c r="M28" s="95">
        <f>L28*K28</f>
        <v>0.18</v>
      </c>
      <c r="N28" s="103">
        <f t="shared" si="3"/>
        <v>2.16</v>
      </c>
      <c r="O28" s="120">
        <v>50</v>
      </c>
      <c r="P28" s="95">
        <v>0.6</v>
      </c>
      <c r="Q28" s="101">
        <v>0.6</v>
      </c>
      <c r="R28" s="114">
        <f>Q28</f>
        <v>0.6</v>
      </c>
    </row>
    <row r="29" spans="1:18" s="92" customFormat="1" ht="15.75" thickBot="1" x14ac:dyDescent="0.3">
      <c r="A29" s="191" t="s">
        <v>379</v>
      </c>
      <c r="B29" s="109" t="s">
        <v>242</v>
      </c>
      <c r="C29" s="114">
        <v>1</v>
      </c>
      <c r="D29" s="92" t="s">
        <v>243</v>
      </c>
      <c r="E29" s="94" t="s">
        <v>266</v>
      </c>
      <c r="F29" s="95">
        <v>1.2</v>
      </c>
      <c r="G29" s="95">
        <v>2</v>
      </c>
      <c r="H29" s="109">
        <f t="shared" si="0"/>
        <v>2</v>
      </c>
      <c r="I29" s="95">
        <f>H29*12</f>
        <v>24</v>
      </c>
      <c r="J29" s="95" t="s">
        <v>252</v>
      </c>
      <c r="K29" s="101">
        <v>1</v>
      </c>
      <c r="L29" s="102">
        <v>0.18</v>
      </c>
      <c r="M29" s="95">
        <f>L29*K29</f>
        <v>0.18</v>
      </c>
      <c r="N29" s="103">
        <f t="shared" si="3"/>
        <v>2.16</v>
      </c>
      <c r="O29" s="120" t="s">
        <v>238</v>
      </c>
      <c r="P29" s="95">
        <v>0.3</v>
      </c>
      <c r="Q29" s="101">
        <v>0.3</v>
      </c>
      <c r="R29" s="114">
        <f>Q29</f>
        <v>0.3</v>
      </c>
    </row>
    <row r="30" spans="1:18" s="92" customFormat="1" ht="15.75" thickBot="1" x14ac:dyDescent="0.3">
      <c r="A30" s="191" t="s">
        <v>379</v>
      </c>
      <c r="B30" s="109" t="s">
        <v>250</v>
      </c>
      <c r="C30" s="114">
        <v>1</v>
      </c>
      <c r="E30" s="94" t="s">
        <v>280</v>
      </c>
      <c r="F30" s="95">
        <v>1.5</v>
      </c>
      <c r="G30" s="95">
        <f t="shared" si="4"/>
        <v>4.92</v>
      </c>
      <c r="H30" s="109">
        <f t="shared" si="0"/>
        <v>4.92</v>
      </c>
      <c r="I30" s="95">
        <f>H30*12</f>
        <v>59.04</v>
      </c>
      <c r="J30" s="95" t="s">
        <v>256</v>
      </c>
      <c r="K30" s="101">
        <v>1</v>
      </c>
      <c r="L30" s="102">
        <v>0.17</v>
      </c>
      <c r="M30" s="95">
        <f>L30*K30</f>
        <v>0.17</v>
      </c>
      <c r="N30" s="103">
        <f t="shared" si="3"/>
        <v>2.04</v>
      </c>
      <c r="O30" s="120" t="s">
        <v>238</v>
      </c>
      <c r="P30" s="95">
        <v>0.6</v>
      </c>
      <c r="Q30" s="101">
        <v>0.6</v>
      </c>
      <c r="R30" s="114">
        <f>Q30</f>
        <v>0.6</v>
      </c>
    </row>
    <row r="31" spans="1:18" s="92" customFormat="1" ht="15.75" thickBot="1" x14ac:dyDescent="0.3">
      <c r="A31" s="191" t="s">
        <v>379</v>
      </c>
      <c r="B31" s="109" t="s">
        <v>169</v>
      </c>
      <c r="C31" s="114">
        <v>1</v>
      </c>
      <c r="D31" s="92" t="s">
        <v>236</v>
      </c>
      <c r="E31" s="94" t="s">
        <v>263</v>
      </c>
      <c r="F31" s="95">
        <v>2</v>
      </c>
      <c r="G31" s="95">
        <f t="shared" si="4"/>
        <v>6.56</v>
      </c>
      <c r="H31" s="109">
        <f t="shared" si="0"/>
        <v>6.56</v>
      </c>
      <c r="I31" s="95">
        <f>H31*12</f>
        <v>78.72</v>
      </c>
      <c r="J31" s="95" t="s">
        <v>246</v>
      </c>
      <c r="K31" s="101">
        <v>1</v>
      </c>
      <c r="L31" s="102">
        <v>0.18</v>
      </c>
      <c r="M31" s="95">
        <f>L31*K31</f>
        <v>0.18</v>
      </c>
      <c r="N31" s="103">
        <f t="shared" si="3"/>
        <v>2.16</v>
      </c>
      <c r="O31" s="120" t="s">
        <v>238</v>
      </c>
      <c r="P31" s="95">
        <v>0.55000000000000004</v>
      </c>
      <c r="Q31" s="101">
        <v>0.55000000000000004</v>
      </c>
      <c r="R31" s="114">
        <f>Q31</f>
        <v>0.55000000000000004</v>
      </c>
    </row>
    <row r="32" spans="1:18" s="8" customFormat="1" x14ac:dyDescent="0.25">
      <c r="A32" s="193" t="s">
        <v>379</v>
      </c>
      <c r="B32" s="110" t="s">
        <v>250</v>
      </c>
      <c r="C32" s="115">
        <v>0.81</v>
      </c>
      <c r="E32" s="104" t="s">
        <v>280</v>
      </c>
      <c r="F32" s="105">
        <v>1.5</v>
      </c>
      <c r="G32" s="105">
        <f t="shared" si="4"/>
        <v>4.92</v>
      </c>
      <c r="H32" s="110">
        <f>G32*C32+G33*C33</f>
        <v>4.6084000000000005</v>
      </c>
      <c r="I32" s="105">
        <f>H32*12</f>
        <v>55.30080000000001</v>
      </c>
      <c r="J32" s="105" t="s">
        <v>260</v>
      </c>
      <c r="K32" s="106">
        <v>1</v>
      </c>
      <c r="L32" s="107">
        <v>0.17</v>
      </c>
      <c r="M32" s="105">
        <f>L32*K32</f>
        <v>0.17</v>
      </c>
      <c r="N32" s="91">
        <f t="shared" si="3"/>
        <v>2.04</v>
      </c>
      <c r="O32" s="121" t="s">
        <v>238</v>
      </c>
      <c r="P32" s="105">
        <v>0.6</v>
      </c>
      <c r="Q32" s="106">
        <v>0.6</v>
      </c>
      <c r="R32" s="115">
        <f>Q32*C32+Q33*C33</f>
        <v>0.56200000000000006</v>
      </c>
    </row>
    <row r="33" spans="1:24" s="92" customFormat="1" ht="15.75" thickBot="1" x14ac:dyDescent="0.3">
      <c r="B33" s="112" t="s">
        <v>294</v>
      </c>
      <c r="C33" s="114">
        <v>0.19</v>
      </c>
      <c r="E33" s="94" t="s">
        <v>298</v>
      </c>
      <c r="F33" s="95">
        <v>1</v>
      </c>
      <c r="G33" s="95">
        <f t="shared" si="4"/>
        <v>3.28</v>
      </c>
      <c r="H33" s="109"/>
      <c r="I33" s="95"/>
      <c r="J33" s="95"/>
      <c r="K33" s="95"/>
      <c r="M33" s="95"/>
      <c r="N33" s="93"/>
      <c r="O33" s="95"/>
      <c r="P33" s="95">
        <v>0.4</v>
      </c>
      <c r="Q33" s="101">
        <v>0.4</v>
      </c>
      <c r="R33" s="109"/>
    </row>
    <row r="34" spans="1:24" x14ac:dyDescent="0.25">
      <c r="A34" s="193" t="s">
        <v>379</v>
      </c>
      <c r="B34" s="111" t="s">
        <v>363</v>
      </c>
      <c r="C34" s="171">
        <v>0.41</v>
      </c>
      <c r="E34" s="169"/>
      <c r="F34" s="105">
        <v>1.5</v>
      </c>
      <c r="G34" s="105">
        <f t="shared" si="4"/>
        <v>4.92</v>
      </c>
      <c r="H34" s="172">
        <f>G34*C34+G35*C35+G36*C36+G37*C37</f>
        <v>4.6411999999999995</v>
      </c>
      <c r="I34" s="105">
        <f t="shared" ref="I34" si="7">H34*12</f>
        <v>55.694399999999995</v>
      </c>
      <c r="J34" s="105" t="s">
        <v>258</v>
      </c>
      <c r="K34" s="106">
        <v>0.90800000000000003</v>
      </c>
      <c r="L34" s="107">
        <v>0.13</v>
      </c>
      <c r="M34" s="105">
        <f>(L34*K34+L35*K35)</f>
        <v>0.13154000000000002</v>
      </c>
      <c r="N34" s="173">
        <f t="shared" ref="N34" si="8">M34*12</f>
        <v>1.5784800000000003</v>
      </c>
      <c r="O34" s="4"/>
      <c r="P34" s="4"/>
      <c r="Q34" s="106">
        <v>0.4</v>
      </c>
      <c r="R34" s="171">
        <f>Q34*C34+Q35*C35+Q36*C36+Q37*C37</f>
        <v>0.36849999999999999</v>
      </c>
    </row>
    <row r="35" spans="1:24" x14ac:dyDescent="0.25">
      <c r="B35" s="111" t="s">
        <v>369</v>
      </c>
      <c r="C35" s="62">
        <v>0.17</v>
      </c>
      <c r="E35" s="169"/>
      <c r="F35" s="105">
        <v>1</v>
      </c>
      <c r="G35" s="105">
        <f t="shared" si="4"/>
        <v>3.28</v>
      </c>
      <c r="H35" s="3"/>
      <c r="I35" s="4"/>
      <c r="J35" s="105" t="s">
        <v>259</v>
      </c>
      <c r="K35" s="106">
        <v>0.09</v>
      </c>
      <c r="L35" s="107">
        <v>0.15</v>
      </c>
      <c r="M35" s="105"/>
      <c r="N35" s="175"/>
      <c r="O35" s="4"/>
      <c r="P35" s="4"/>
      <c r="Q35" s="106">
        <v>0.3</v>
      </c>
      <c r="R35" s="62"/>
    </row>
    <row r="36" spans="1:24" x14ac:dyDescent="0.25">
      <c r="B36" s="111" t="s">
        <v>370</v>
      </c>
      <c r="C36" s="62">
        <v>0.13</v>
      </c>
      <c r="E36" s="169"/>
      <c r="F36" s="105">
        <v>1.5</v>
      </c>
      <c r="G36" s="105">
        <f t="shared" si="4"/>
        <v>4.92</v>
      </c>
      <c r="H36" s="3"/>
      <c r="I36" s="4"/>
      <c r="J36" s="105" t="s">
        <v>299</v>
      </c>
      <c r="K36" s="105"/>
      <c r="M36" s="105"/>
      <c r="N36" s="110"/>
      <c r="O36" s="4"/>
      <c r="P36" s="4"/>
      <c r="Q36" s="106">
        <v>0.4</v>
      </c>
      <c r="R36" s="62"/>
    </row>
    <row r="37" spans="1:24" s="92" customFormat="1" ht="15.75" thickBot="1" x14ac:dyDescent="0.3">
      <c r="B37" s="112" t="s">
        <v>371</v>
      </c>
      <c r="C37" s="168">
        <v>0.28999999999999998</v>
      </c>
      <c r="E37" s="94"/>
      <c r="F37" s="95">
        <v>1.5</v>
      </c>
      <c r="G37" s="95">
        <f t="shared" si="4"/>
        <v>4.92</v>
      </c>
      <c r="H37" s="93"/>
      <c r="I37" s="95"/>
      <c r="J37" s="95"/>
      <c r="K37" s="95"/>
      <c r="M37" s="95"/>
      <c r="N37" s="174"/>
      <c r="O37" s="95"/>
      <c r="P37" s="95"/>
      <c r="Q37" s="101">
        <v>0.35</v>
      </c>
      <c r="R37" s="170"/>
    </row>
    <row r="38" spans="1:24" x14ac:dyDescent="0.25">
      <c r="C38"/>
      <c r="E38" s="73"/>
    </row>
    <row r="39" spans="1:24" x14ac:dyDescent="0.25">
      <c r="C39"/>
      <c r="E39" s="73"/>
    </row>
    <row r="40" spans="1:24" ht="15.75" thickBot="1" x14ac:dyDescent="0.3">
      <c r="A40" t="s">
        <v>250</v>
      </c>
      <c r="D40" t="s">
        <v>295</v>
      </c>
      <c r="E40" s="73"/>
      <c r="G40" t="s">
        <v>288</v>
      </c>
      <c r="J40" t="s">
        <v>314</v>
      </c>
      <c r="O40" t="s">
        <v>305</v>
      </c>
      <c r="R40" t="s">
        <v>289</v>
      </c>
      <c r="T40" s="21"/>
      <c r="V40" t="s">
        <v>169</v>
      </c>
      <c r="X40" s="21"/>
    </row>
    <row r="41" spans="1:24" x14ac:dyDescent="0.25">
      <c r="A41" s="12" t="s">
        <v>279</v>
      </c>
      <c r="B41" s="7" t="s">
        <v>278</v>
      </c>
      <c r="C41" s="118"/>
      <c r="D41" s="12" t="s">
        <v>279</v>
      </c>
      <c r="E41" s="7" t="s">
        <v>296</v>
      </c>
      <c r="G41" s="12" t="s">
        <v>301</v>
      </c>
      <c r="H41" s="7">
        <v>0.3</v>
      </c>
      <c r="J41" s="12" t="s">
        <v>279</v>
      </c>
      <c r="K41" s="126" t="s">
        <v>296</v>
      </c>
      <c r="L41" s="7" t="s">
        <v>325</v>
      </c>
      <c r="O41" s="12" t="s">
        <v>279</v>
      </c>
      <c r="P41" s="7" t="s">
        <v>296</v>
      </c>
      <c r="R41" s="12" t="s">
        <v>279</v>
      </c>
      <c r="S41" s="7" t="s">
        <v>296</v>
      </c>
      <c r="T41" s="21"/>
      <c r="V41" t="s">
        <v>306</v>
      </c>
      <c r="X41" s="21"/>
    </row>
    <row r="42" spans="1:24" x14ac:dyDescent="0.25">
      <c r="A42" s="122"/>
      <c r="B42" s="125"/>
      <c r="D42" s="122"/>
      <c r="E42" s="123"/>
      <c r="G42" s="122" t="s">
        <v>302</v>
      </c>
      <c r="H42" s="125">
        <v>1.1499999999999999</v>
      </c>
      <c r="J42" s="122">
        <v>0</v>
      </c>
      <c r="K42" s="8">
        <v>0.25</v>
      </c>
      <c r="L42" s="125">
        <f t="shared" ref="L42:L59" si="9">(K42-$K$62)/($K$61-$K$62)</f>
        <v>0</v>
      </c>
      <c r="O42" s="122">
        <v>0</v>
      </c>
      <c r="P42" s="125">
        <v>0.4</v>
      </c>
      <c r="R42" s="122">
        <v>0</v>
      </c>
      <c r="S42" s="125">
        <v>0.2</v>
      </c>
      <c r="T42" s="21"/>
      <c r="X42" s="21"/>
    </row>
    <row r="43" spans="1:24" ht="15.75" thickBot="1" x14ac:dyDescent="0.3">
      <c r="A43" s="90">
        <v>0</v>
      </c>
      <c r="B43" s="89">
        <v>0.25</v>
      </c>
      <c r="C43" s="118"/>
      <c r="D43" s="122">
        <v>0</v>
      </c>
      <c r="E43" s="123">
        <v>0.45</v>
      </c>
      <c r="G43" s="124" t="s">
        <v>303</v>
      </c>
      <c r="H43" s="131">
        <v>1.05</v>
      </c>
      <c r="J43" s="122">
        <v>10</v>
      </c>
      <c r="K43" s="8">
        <v>0.25</v>
      </c>
      <c r="L43" s="125">
        <f t="shared" si="9"/>
        <v>0</v>
      </c>
      <c r="O43" s="122">
        <v>10</v>
      </c>
      <c r="P43" s="125">
        <v>0.45</v>
      </c>
      <c r="R43" s="122">
        <v>10</v>
      </c>
      <c r="S43" s="125">
        <v>0.2</v>
      </c>
      <c r="T43" s="21"/>
      <c r="X43" s="21"/>
    </row>
    <row r="44" spans="1:24" x14ac:dyDescent="0.25">
      <c r="A44" s="90">
        <v>10</v>
      </c>
      <c r="B44" s="89">
        <v>0.3</v>
      </c>
      <c r="C44" s="118"/>
      <c r="D44" s="122">
        <v>10</v>
      </c>
      <c r="E44" s="123">
        <v>0.45</v>
      </c>
      <c r="G44" s="132" t="s">
        <v>304</v>
      </c>
      <c r="J44" s="122">
        <v>20</v>
      </c>
      <c r="K44" s="8">
        <v>0.25</v>
      </c>
      <c r="L44" s="125">
        <f t="shared" si="9"/>
        <v>0</v>
      </c>
      <c r="O44" s="122">
        <v>20</v>
      </c>
      <c r="P44" s="125">
        <v>0.52</v>
      </c>
      <c r="R44" s="122">
        <v>20</v>
      </c>
      <c r="S44" s="125">
        <v>0.27</v>
      </c>
      <c r="T44" s="21"/>
      <c r="X44" s="21"/>
    </row>
    <row r="45" spans="1:24" x14ac:dyDescent="0.25">
      <c r="A45" s="90">
        <v>20</v>
      </c>
      <c r="B45" s="89">
        <v>0.36</v>
      </c>
      <c r="C45" s="118"/>
      <c r="D45" s="122">
        <v>20</v>
      </c>
      <c r="E45" s="123">
        <v>0.45</v>
      </c>
      <c r="J45" s="122">
        <v>30</v>
      </c>
      <c r="K45" s="8">
        <v>0.28000000000000003</v>
      </c>
      <c r="L45" s="125">
        <f t="shared" si="9"/>
        <v>5.2631578947368474E-2</v>
      </c>
      <c r="O45" s="122">
        <v>30</v>
      </c>
      <c r="P45" s="125">
        <v>0.57999999999999996</v>
      </c>
      <c r="R45" s="122">
        <v>30</v>
      </c>
      <c r="S45" s="125">
        <v>0.41</v>
      </c>
      <c r="T45" s="21"/>
      <c r="X45" s="21"/>
    </row>
    <row r="46" spans="1:24" x14ac:dyDescent="0.25">
      <c r="A46" s="90">
        <v>30</v>
      </c>
      <c r="B46" s="89">
        <v>0.43</v>
      </c>
      <c r="C46" s="118"/>
      <c r="D46" s="122">
        <v>30</v>
      </c>
      <c r="E46" s="123">
        <v>0.45</v>
      </c>
      <c r="G46" s="122" t="s">
        <v>302</v>
      </c>
      <c r="H46">
        <f>H42</f>
        <v>1.1499999999999999</v>
      </c>
      <c r="J46" s="122">
        <v>40</v>
      </c>
      <c r="K46" s="8">
        <v>0.33</v>
      </c>
      <c r="L46" s="125">
        <f t="shared" si="9"/>
        <v>0.1403508771929825</v>
      </c>
      <c r="O46" s="122">
        <v>40</v>
      </c>
      <c r="P46" s="125">
        <v>0.66</v>
      </c>
      <c r="R46" s="122">
        <v>40</v>
      </c>
      <c r="S46" s="125">
        <v>0.54</v>
      </c>
      <c r="T46" s="21"/>
      <c r="X46" s="21"/>
    </row>
    <row r="47" spans="1:24" x14ac:dyDescent="0.25">
      <c r="A47" s="90">
        <v>40</v>
      </c>
      <c r="B47" s="89">
        <v>0.5</v>
      </c>
      <c r="C47" s="118"/>
      <c r="D47" s="122">
        <v>40</v>
      </c>
      <c r="E47" s="123">
        <v>0.45</v>
      </c>
      <c r="G47" s="132" t="s">
        <v>323</v>
      </c>
      <c r="J47" s="122">
        <v>50</v>
      </c>
      <c r="K47" s="8">
        <v>0.39</v>
      </c>
      <c r="L47" s="125">
        <f t="shared" si="9"/>
        <v>0.24561403508771934</v>
      </c>
      <c r="O47" s="122">
        <v>50</v>
      </c>
      <c r="P47" s="125">
        <v>0.76</v>
      </c>
      <c r="R47" s="122">
        <v>50</v>
      </c>
      <c r="S47" s="125">
        <v>0.65</v>
      </c>
      <c r="T47" s="21"/>
      <c r="X47" s="21"/>
    </row>
    <row r="48" spans="1:24" x14ac:dyDescent="0.25">
      <c r="A48" s="90">
        <v>50</v>
      </c>
      <c r="B48" s="89">
        <v>0.6</v>
      </c>
      <c r="C48" s="118"/>
      <c r="D48" s="122">
        <v>50</v>
      </c>
      <c r="E48" s="123">
        <v>0.48</v>
      </c>
      <c r="J48" s="122">
        <v>60</v>
      </c>
      <c r="K48" s="8">
        <v>0.46</v>
      </c>
      <c r="L48" s="125">
        <f t="shared" si="9"/>
        <v>0.36842105263157904</v>
      </c>
      <c r="O48" s="122">
        <v>60</v>
      </c>
      <c r="P48" s="125">
        <v>0.85</v>
      </c>
      <c r="R48" s="122">
        <v>60</v>
      </c>
      <c r="S48" s="125">
        <v>0.73</v>
      </c>
      <c r="T48" s="21"/>
      <c r="X48" s="21"/>
    </row>
    <row r="49" spans="1:28" x14ac:dyDescent="0.25">
      <c r="A49" s="90">
        <v>60</v>
      </c>
      <c r="B49" s="89">
        <v>0.63</v>
      </c>
      <c r="C49" s="118"/>
      <c r="D49" s="122">
        <v>60</v>
      </c>
      <c r="E49" s="123">
        <v>0.5</v>
      </c>
      <c r="J49" s="122">
        <v>70</v>
      </c>
      <c r="K49" s="8">
        <v>0.54</v>
      </c>
      <c r="L49" s="125">
        <f t="shared" si="9"/>
        <v>0.50877192982456154</v>
      </c>
      <c r="O49" s="122">
        <v>70</v>
      </c>
      <c r="P49" s="125">
        <v>0.94</v>
      </c>
      <c r="R49" s="122">
        <v>70</v>
      </c>
      <c r="S49" s="125">
        <v>0.92</v>
      </c>
      <c r="T49" s="21"/>
      <c r="X49" s="21"/>
    </row>
    <row r="50" spans="1:28" x14ac:dyDescent="0.25">
      <c r="A50" s="90">
        <v>70</v>
      </c>
      <c r="B50" s="89">
        <v>0.66</v>
      </c>
      <c r="C50" s="118"/>
      <c r="D50" s="122">
        <v>70</v>
      </c>
      <c r="E50" s="123">
        <v>0.53</v>
      </c>
      <c r="J50" s="122">
        <v>80</v>
      </c>
      <c r="K50" s="8">
        <v>0.63</v>
      </c>
      <c r="L50" s="125">
        <f t="shared" si="9"/>
        <v>0.66666666666666674</v>
      </c>
      <c r="O50" s="122">
        <v>80</v>
      </c>
      <c r="P50" s="125">
        <v>1</v>
      </c>
      <c r="R50" s="122">
        <v>80</v>
      </c>
      <c r="S50" s="125">
        <v>1.02</v>
      </c>
      <c r="T50" s="21"/>
      <c r="X50" s="21"/>
    </row>
    <row r="51" spans="1:28" x14ac:dyDescent="0.25">
      <c r="A51" s="90">
        <v>80</v>
      </c>
      <c r="B51" s="89">
        <v>0.68</v>
      </c>
      <c r="C51" s="118"/>
      <c r="D51" s="122">
        <v>80</v>
      </c>
      <c r="E51" s="123">
        <v>0.55000000000000004</v>
      </c>
      <c r="J51" s="122">
        <v>90</v>
      </c>
      <c r="K51" s="8">
        <v>0.72</v>
      </c>
      <c r="L51" s="125">
        <f t="shared" si="9"/>
        <v>0.82456140350877194</v>
      </c>
      <c r="O51" s="122">
        <v>90</v>
      </c>
      <c r="P51" s="125">
        <v>1.04</v>
      </c>
      <c r="R51" s="122">
        <v>90</v>
      </c>
      <c r="S51" s="125">
        <v>1.03</v>
      </c>
      <c r="T51" s="21"/>
      <c r="X51" s="21"/>
    </row>
    <row r="52" spans="1:28" x14ac:dyDescent="0.25">
      <c r="A52" s="90">
        <v>90</v>
      </c>
      <c r="B52" s="89">
        <v>0.68</v>
      </c>
      <c r="C52" s="118"/>
      <c r="D52" s="122">
        <v>90</v>
      </c>
      <c r="E52" s="123">
        <v>0.57999999999999996</v>
      </c>
      <c r="J52" s="122">
        <v>100</v>
      </c>
      <c r="K52" s="8">
        <v>0.82</v>
      </c>
      <c r="L52" s="125">
        <f t="shared" si="9"/>
        <v>1</v>
      </c>
      <c r="O52" s="122">
        <v>100</v>
      </c>
      <c r="P52" s="125">
        <v>1.04</v>
      </c>
      <c r="R52" s="122">
        <v>100</v>
      </c>
      <c r="S52" s="125">
        <v>1.03</v>
      </c>
      <c r="T52" s="21"/>
      <c r="X52" s="21"/>
    </row>
    <row r="53" spans="1:28" x14ac:dyDescent="0.25">
      <c r="A53" s="90">
        <v>100</v>
      </c>
      <c r="B53" s="89">
        <v>0.68</v>
      </c>
      <c r="C53" s="118"/>
      <c r="D53" s="122">
        <v>100</v>
      </c>
      <c r="E53" s="123">
        <v>0.6</v>
      </c>
      <c r="J53" s="122">
        <v>110</v>
      </c>
      <c r="K53" s="8">
        <v>0.84</v>
      </c>
      <c r="L53" s="125">
        <f t="shared" si="9"/>
        <v>1.0350877192982457</v>
      </c>
      <c r="O53" s="122">
        <v>110</v>
      </c>
      <c r="P53" s="125">
        <v>1.04</v>
      </c>
      <c r="R53" s="122">
        <v>110</v>
      </c>
      <c r="S53" s="125">
        <v>1.03</v>
      </c>
      <c r="T53" s="21"/>
      <c r="X53" s="21"/>
    </row>
    <row r="54" spans="1:28" x14ac:dyDescent="0.25">
      <c r="A54" s="90">
        <v>110</v>
      </c>
      <c r="B54" s="89">
        <v>0.68</v>
      </c>
      <c r="C54" s="118"/>
      <c r="D54" s="122">
        <v>110</v>
      </c>
      <c r="E54" s="123">
        <v>0.6</v>
      </c>
      <c r="J54" s="122">
        <v>120</v>
      </c>
      <c r="K54" s="8">
        <v>0.74</v>
      </c>
      <c r="L54" s="125">
        <f t="shared" si="9"/>
        <v>0.85964912280701755</v>
      </c>
      <c r="O54" s="122">
        <v>120</v>
      </c>
      <c r="P54" s="125">
        <v>1.04</v>
      </c>
      <c r="R54" s="122">
        <v>120</v>
      </c>
      <c r="S54" s="125">
        <v>1.03</v>
      </c>
      <c r="T54" s="21"/>
      <c r="X54" s="21"/>
    </row>
    <row r="55" spans="1:28" x14ac:dyDescent="0.25">
      <c r="A55" s="90">
        <v>120</v>
      </c>
      <c r="B55" s="89">
        <v>0.68</v>
      </c>
      <c r="C55" s="118"/>
      <c r="D55" s="122">
        <v>120</v>
      </c>
      <c r="E55" s="123">
        <v>0.6</v>
      </c>
      <c r="J55" s="122">
        <v>130</v>
      </c>
      <c r="K55" s="8">
        <v>0.56999999999999995</v>
      </c>
      <c r="L55" s="125">
        <f t="shared" si="9"/>
        <v>0.56140350877192979</v>
      </c>
      <c r="O55" s="122">
        <v>130</v>
      </c>
      <c r="P55" s="125">
        <v>1.04</v>
      </c>
      <c r="R55" s="122">
        <v>130</v>
      </c>
      <c r="S55" s="125">
        <v>1.03</v>
      </c>
      <c r="T55" s="21"/>
      <c r="X55" s="21"/>
    </row>
    <row r="56" spans="1:28" x14ac:dyDescent="0.25">
      <c r="A56" s="90">
        <v>130</v>
      </c>
      <c r="B56" s="89">
        <v>0.68</v>
      </c>
      <c r="C56" s="118"/>
      <c r="D56" s="122">
        <v>130</v>
      </c>
      <c r="E56" s="123">
        <v>0.6</v>
      </c>
      <c r="J56" s="122">
        <v>140</v>
      </c>
      <c r="K56" s="8">
        <v>0.39</v>
      </c>
      <c r="L56" s="125">
        <f t="shared" si="9"/>
        <v>0.24561403508771934</v>
      </c>
      <c r="O56" s="122">
        <v>140</v>
      </c>
      <c r="P56" s="125">
        <v>1.04</v>
      </c>
      <c r="R56" s="122">
        <v>140</v>
      </c>
      <c r="S56" s="125">
        <v>1.03</v>
      </c>
      <c r="T56" s="21"/>
      <c r="X56" s="21"/>
    </row>
    <row r="57" spans="1:28" x14ac:dyDescent="0.25">
      <c r="A57" s="90">
        <v>140</v>
      </c>
      <c r="B57" s="89">
        <v>0.68</v>
      </c>
      <c r="C57" s="118"/>
      <c r="D57" s="122">
        <v>140</v>
      </c>
      <c r="E57" s="123">
        <v>0.6</v>
      </c>
      <c r="J57" s="122">
        <v>150</v>
      </c>
      <c r="K57" s="8">
        <v>0.24</v>
      </c>
      <c r="L57" s="125">
        <f t="shared" si="9"/>
        <v>-1.7543859649122823E-2</v>
      </c>
      <c r="O57" s="122">
        <v>150</v>
      </c>
      <c r="P57" s="125">
        <v>1.04</v>
      </c>
      <c r="R57" s="122">
        <v>150</v>
      </c>
      <c r="S57" s="125">
        <v>1.01</v>
      </c>
      <c r="T57" s="21"/>
      <c r="X57" s="21"/>
    </row>
    <row r="58" spans="1:28" x14ac:dyDescent="0.25">
      <c r="A58" s="90">
        <v>150</v>
      </c>
      <c r="B58" s="89">
        <v>0.68</v>
      </c>
      <c r="C58" s="118"/>
      <c r="D58" s="122">
        <v>150</v>
      </c>
      <c r="E58" s="123">
        <v>0.6</v>
      </c>
      <c r="J58" s="122">
        <v>160</v>
      </c>
      <c r="K58" s="8">
        <v>0.2</v>
      </c>
      <c r="L58" s="125">
        <f t="shared" si="9"/>
        <v>-8.7719298245614016E-2</v>
      </c>
      <c r="O58" s="122">
        <v>160</v>
      </c>
      <c r="P58" s="125">
        <v>0.98</v>
      </c>
      <c r="R58" s="122">
        <v>160</v>
      </c>
      <c r="S58" s="125">
        <v>0.97</v>
      </c>
      <c r="T58" s="21"/>
      <c r="X58" s="21"/>
    </row>
    <row r="59" spans="1:28" ht="15.75" thickBot="1" x14ac:dyDescent="0.3">
      <c r="A59" s="90">
        <v>160</v>
      </c>
      <c r="B59" s="89">
        <v>0.68</v>
      </c>
      <c r="C59" s="118"/>
      <c r="D59" s="122">
        <v>160</v>
      </c>
      <c r="E59" s="123">
        <v>0.6</v>
      </c>
      <c r="J59" s="140">
        <v>170</v>
      </c>
      <c r="K59" s="141">
        <v>0.2</v>
      </c>
      <c r="L59" s="142">
        <f t="shared" si="9"/>
        <v>-8.7719298245614016E-2</v>
      </c>
      <c r="O59" s="122">
        <v>170</v>
      </c>
      <c r="P59" s="125">
        <v>0.91</v>
      </c>
      <c r="R59" s="122">
        <v>170</v>
      </c>
      <c r="S59" s="125">
        <v>0.89</v>
      </c>
      <c r="T59" s="21"/>
      <c r="X59" s="21"/>
    </row>
    <row r="60" spans="1:28" ht="15.75" thickBot="1" x14ac:dyDescent="0.3">
      <c r="A60" s="90">
        <v>170</v>
      </c>
      <c r="B60" s="89">
        <v>0.68</v>
      </c>
      <c r="C60" s="118"/>
      <c r="D60" s="122">
        <v>170</v>
      </c>
      <c r="E60" s="123">
        <v>0.6</v>
      </c>
      <c r="O60" s="122">
        <v>180</v>
      </c>
      <c r="P60" s="125">
        <v>0.84</v>
      </c>
      <c r="R60" s="122">
        <v>180</v>
      </c>
      <c r="S60" s="125">
        <v>0.7</v>
      </c>
      <c r="T60" s="21"/>
      <c r="X60" s="21"/>
    </row>
    <row r="61" spans="1:28" x14ac:dyDescent="0.25">
      <c r="A61" s="90">
        <v>180</v>
      </c>
      <c r="B61" s="89">
        <v>0.65</v>
      </c>
      <c r="C61" s="118"/>
      <c r="D61" s="122">
        <v>180</v>
      </c>
      <c r="E61" s="123">
        <v>0.6</v>
      </c>
      <c r="J61" s="12" t="s">
        <v>302</v>
      </c>
      <c r="K61" s="7">
        <f>K52</f>
        <v>0.82</v>
      </c>
      <c r="O61" s="122">
        <v>190</v>
      </c>
      <c r="P61" s="125">
        <v>0.75</v>
      </c>
      <c r="R61" s="122">
        <v>190</v>
      </c>
      <c r="S61" s="125">
        <v>0.51</v>
      </c>
      <c r="T61" s="21"/>
      <c r="X61" s="21"/>
    </row>
    <row r="62" spans="1:28" ht="15.75" thickBot="1" x14ac:dyDescent="0.3">
      <c r="A62" s="90">
        <v>190</v>
      </c>
      <c r="B62" s="89">
        <v>0.6</v>
      </c>
      <c r="C62" s="118"/>
      <c r="D62" s="122">
        <v>190</v>
      </c>
      <c r="E62" s="123">
        <v>0.6</v>
      </c>
      <c r="J62" s="124" t="s">
        <v>323</v>
      </c>
      <c r="K62" s="131">
        <v>0.25</v>
      </c>
      <c r="O62" s="122">
        <v>200</v>
      </c>
      <c r="P62" s="125">
        <v>0.68</v>
      </c>
      <c r="R62" s="122">
        <v>200</v>
      </c>
      <c r="S62" s="125">
        <v>0.4</v>
      </c>
      <c r="T62" s="21"/>
      <c r="X62" s="21"/>
      <c r="AB62">
        <f>1.2*4.9*0.75</f>
        <v>4.41</v>
      </c>
    </row>
    <row r="63" spans="1:28" ht="15.75" thickBot="1" x14ac:dyDescent="0.3">
      <c r="A63" s="90">
        <v>200</v>
      </c>
      <c r="B63" s="89">
        <v>0.4</v>
      </c>
      <c r="C63" s="118"/>
      <c r="D63" s="122">
        <v>200</v>
      </c>
      <c r="E63" s="123">
        <v>0.6</v>
      </c>
      <c r="O63" s="122">
        <v>210</v>
      </c>
      <c r="P63" s="125">
        <v>0.68</v>
      </c>
      <c r="R63" s="122">
        <v>210</v>
      </c>
      <c r="S63" s="125">
        <v>0.31</v>
      </c>
      <c r="T63" s="21"/>
      <c r="V63" t="s">
        <v>169</v>
      </c>
      <c r="W63" t="s">
        <v>353</v>
      </c>
      <c r="X63" s="21"/>
    </row>
    <row r="64" spans="1:28" ht="15.75" thickBot="1" x14ac:dyDescent="0.3">
      <c r="A64" s="143">
        <v>210</v>
      </c>
      <c r="B64" s="144">
        <v>0</v>
      </c>
      <c r="C64" s="119"/>
      <c r="D64" s="122">
        <v>210</v>
      </c>
      <c r="E64" s="123">
        <v>0.6</v>
      </c>
      <c r="O64" s="140">
        <v>220</v>
      </c>
      <c r="P64" s="142">
        <v>0</v>
      </c>
      <c r="R64" s="122">
        <v>220</v>
      </c>
      <c r="S64" s="125">
        <v>0.21</v>
      </c>
      <c r="T64" s="21"/>
      <c r="V64" s="12" t="s">
        <v>279</v>
      </c>
      <c r="W64" s="7" t="s">
        <v>352</v>
      </c>
      <c r="X64" s="21"/>
    </row>
    <row r="65" spans="1:23" x14ac:dyDescent="0.25">
      <c r="A65" t="s">
        <v>297</v>
      </c>
      <c r="D65" s="122">
        <v>220</v>
      </c>
      <c r="E65" s="123">
        <v>0.6</v>
      </c>
      <c r="L65" t="s">
        <v>324</v>
      </c>
      <c r="R65" s="122">
        <v>230</v>
      </c>
      <c r="S65" s="125">
        <v>0.1</v>
      </c>
      <c r="T65" s="21"/>
      <c r="V65" s="122">
        <v>0</v>
      </c>
      <c r="W65" s="125">
        <v>0.38</v>
      </c>
    </row>
    <row r="66" spans="1:23" ht="15.75" thickBot="1" x14ac:dyDescent="0.3">
      <c r="D66" s="122">
        <v>230</v>
      </c>
      <c r="E66" s="123">
        <v>0.55000000000000004</v>
      </c>
      <c r="R66" s="140">
        <v>240</v>
      </c>
      <c r="S66" s="142">
        <v>0</v>
      </c>
      <c r="V66" s="122">
        <v>10</v>
      </c>
      <c r="W66" s="125">
        <v>0.56000000000000005</v>
      </c>
    </row>
    <row r="67" spans="1:23" x14ac:dyDescent="0.25">
      <c r="D67" s="122">
        <v>240</v>
      </c>
      <c r="E67" s="123">
        <v>0.46</v>
      </c>
      <c r="V67" s="122">
        <v>20</v>
      </c>
      <c r="W67" s="125">
        <v>0.71</v>
      </c>
    </row>
    <row r="68" spans="1:23" x14ac:dyDescent="0.25">
      <c r="D68" s="122">
        <v>250</v>
      </c>
      <c r="E68" s="123">
        <v>0.45</v>
      </c>
      <c r="V68" s="122">
        <v>30</v>
      </c>
      <c r="W68" s="125">
        <v>0.81</v>
      </c>
    </row>
    <row r="69" spans="1:23" x14ac:dyDescent="0.25">
      <c r="D69" s="122">
        <v>260</v>
      </c>
      <c r="E69" s="123">
        <v>0.45</v>
      </c>
      <c r="V69" s="122">
        <v>40</v>
      </c>
      <c r="W69" s="125">
        <v>0.86</v>
      </c>
    </row>
    <row r="70" spans="1:23" x14ac:dyDescent="0.25">
      <c r="D70" s="122">
        <v>270</v>
      </c>
      <c r="E70" s="123">
        <v>0.45</v>
      </c>
      <c r="V70" s="122">
        <v>50</v>
      </c>
      <c r="W70" s="125">
        <v>0.89</v>
      </c>
    </row>
    <row r="71" spans="1:23" x14ac:dyDescent="0.25">
      <c r="D71" s="122">
        <v>280</v>
      </c>
      <c r="E71" s="123">
        <v>0.45</v>
      </c>
      <c r="V71" s="122">
        <v>60</v>
      </c>
      <c r="W71" s="125">
        <v>0.92</v>
      </c>
    </row>
    <row r="72" spans="1:23" ht="15.75" thickBot="1" x14ac:dyDescent="0.3">
      <c r="D72" s="140">
        <v>290</v>
      </c>
      <c r="E72" s="149">
        <v>0</v>
      </c>
      <c r="V72" s="122">
        <v>70</v>
      </c>
      <c r="W72" s="125">
        <v>0.95</v>
      </c>
    </row>
    <row r="73" spans="1:23" ht="15.75" thickBot="1" x14ac:dyDescent="0.3">
      <c r="D73" t="s">
        <v>297</v>
      </c>
      <c r="M73" s="40" t="s">
        <v>348</v>
      </c>
      <c r="V73" s="122">
        <v>80</v>
      </c>
      <c r="W73" s="125">
        <v>0.98</v>
      </c>
    </row>
    <row r="74" spans="1:23" x14ac:dyDescent="0.25">
      <c r="G74" s="12" t="s">
        <v>313</v>
      </c>
      <c r="H74" s="126" t="s">
        <v>301</v>
      </c>
      <c r="I74" s="126" t="s">
        <v>302</v>
      </c>
      <c r="J74" s="7" t="s">
        <v>303</v>
      </c>
      <c r="M74" t="s">
        <v>338</v>
      </c>
      <c r="V74" s="122">
        <v>90</v>
      </c>
      <c r="W74" s="125">
        <v>0.99</v>
      </c>
    </row>
    <row r="75" spans="1:23" x14ac:dyDescent="0.25">
      <c r="G75" s="122" t="s">
        <v>309</v>
      </c>
      <c r="H75" s="8">
        <v>0.7</v>
      </c>
      <c r="I75" s="8">
        <v>1.05</v>
      </c>
      <c r="J75" s="125">
        <v>0.85</v>
      </c>
      <c r="M75">
        <v>1.1499999999999999</v>
      </c>
      <c r="V75" s="122">
        <v>100</v>
      </c>
      <c r="W75" s="125">
        <v>1</v>
      </c>
    </row>
    <row r="76" spans="1:23" x14ac:dyDescent="0.25">
      <c r="G76" s="122" t="s">
        <v>310</v>
      </c>
      <c r="H76" s="8">
        <v>0.7</v>
      </c>
      <c r="I76" s="8">
        <v>1.05</v>
      </c>
      <c r="J76" s="125">
        <v>0.5</v>
      </c>
      <c r="M76">
        <v>0.95</v>
      </c>
      <c r="V76" s="122">
        <v>110</v>
      </c>
      <c r="W76" s="125">
        <v>1</v>
      </c>
    </row>
    <row r="77" spans="1:23" x14ac:dyDescent="0.25">
      <c r="G77" s="122" t="s">
        <v>311</v>
      </c>
      <c r="H77" s="8">
        <v>0.4</v>
      </c>
      <c r="I77" s="8">
        <v>1</v>
      </c>
      <c r="J77" s="125">
        <v>0.75</v>
      </c>
      <c r="M77">
        <v>1.1000000000000001</v>
      </c>
      <c r="V77" s="122">
        <v>120</v>
      </c>
      <c r="W77" s="125">
        <v>1</v>
      </c>
    </row>
    <row r="78" spans="1:23" ht="15.75" thickBot="1" x14ac:dyDescent="0.3">
      <c r="G78" s="124" t="s">
        <v>312</v>
      </c>
      <c r="H78" s="92">
        <v>0.5</v>
      </c>
      <c r="I78" s="92">
        <v>0.95</v>
      </c>
      <c r="J78" s="131">
        <v>0.75</v>
      </c>
      <c r="M78">
        <v>1.1499999999999999</v>
      </c>
      <c r="V78" s="122">
        <v>130</v>
      </c>
      <c r="W78" s="125">
        <v>1</v>
      </c>
    </row>
    <row r="79" spans="1:23" x14ac:dyDescent="0.25">
      <c r="G79" s="133" t="s">
        <v>308</v>
      </c>
      <c r="M79">
        <v>1.1000000000000001</v>
      </c>
      <c r="V79" s="122">
        <v>140</v>
      </c>
      <c r="W79" s="125">
        <v>1</v>
      </c>
    </row>
    <row r="80" spans="1:23" x14ac:dyDescent="0.25">
      <c r="M80">
        <v>1.1000000000000001</v>
      </c>
      <c r="V80" s="122">
        <v>150</v>
      </c>
      <c r="W80" s="125">
        <v>1</v>
      </c>
    </row>
    <row r="81" spans="12:23" ht="15.75" thickBot="1" x14ac:dyDescent="0.3">
      <c r="M81">
        <v>1.05</v>
      </c>
      <c r="V81" s="122">
        <v>160</v>
      </c>
      <c r="W81" s="125">
        <v>1</v>
      </c>
    </row>
    <row r="82" spans="12:23" ht="15.75" thickBot="1" x14ac:dyDescent="0.3">
      <c r="L82" t="s">
        <v>339</v>
      </c>
      <c r="M82" s="139">
        <f>AVERAGE(M75:M81)</f>
        <v>1.0857142857142856</v>
      </c>
      <c r="V82" s="122">
        <v>170</v>
      </c>
      <c r="W82" s="125">
        <v>1</v>
      </c>
    </row>
    <row r="83" spans="12:23" x14ac:dyDescent="0.25">
      <c r="V83" s="122">
        <v>180</v>
      </c>
      <c r="W83" s="125">
        <v>1</v>
      </c>
    </row>
    <row r="84" spans="12:23" x14ac:dyDescent="0.25">
      <c r="V84" s="122">
        <v>190</v>
      </c>
      <c r="W84" s="125">
        <v>1</v>
      </c>
    </row>
    <row r="85" spans="12:23" x14ac:dyDescent="0.25">
      <c r="V85" s="122">
        <v>200</v>
      </c>
      <c r="W85" s="125">
        <v>1</v>
      </c>
    </row>
    <row r="86" spans="12:23" x14ac:dyDescent="0.25">
      <c r="V86" s="122">
        <v>210</v>
      </c>
      <c r="W86" s="125">
        <v>1</v>
      </c>
    </row>
    <row r="87" spans="12:23" x14ac:dyDescent="0.25">
      <c r="V87" s="122">
        <v>220</v>
      </c>
      <c r="W87" s="125">
        <v>1</v>
      </c>
    </row>
    <row r="88" spans="12:23" x14ac:dyDescent="0.25">
      <c r="V88" s="122">
        <v>230</v>
      </c>
      <c r="W88" s="125">
        <v>1</v>
      </c>
    </row>
    <row r="89" spans="12:23" x14ac:dyDescent="0.25">
      <c r="V89" s="122">
        <v>240</v>
      </c>
      <c r="W89" s="125">
        <v>1</v>
      </c>
    </row>
    <row r="90" spans="12:23" x14ac:dyDescent="0.25">
      <c r="V90" s="122">
        <v>250</v>
      </c>
      <c r="W90" s="125">
        <v>1</v>
      </c>
    </row>
    <row r="91" spans="12:23" ht="15.75" thickBot="1" x14ac:dyDescent="0.3">
      <c r="V91" s="140">
        <v>260</v>
      </c>
      <c r="W91" s="142">
        <v>0</v>
      </c>
    </row>
  </sheetData>
  <mergeCells count="3">
    <mergeCell ref="A6:A8"/>
    <mergeCell ref="J1:N1"/>
    <mergeCell ref="D1:I1"/>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58"/>
  <sheetViews>
    <sheetView workbookViewId="0">
      <selection activeCell="D8" sqref="D8"/>
    </sheetView>
  </sheetViews>
  <sheetFormatPr defaultColWidth="17" defaultRowHeight="15" x14ac:dyDescent="0.25"/>
  <cols>
    <col min="1" max="1" width="24.7109375" bestFit="1" customWidth="1"/>
    <col min="2" max="2" width="24.7109375" style="15" customWidth="1"/>
    <col min="7" max="7" width="17" style="13"/>
    <col min="8" max="8" width="17" style="14"/>
  </cols>
  <sheetData>
    <row r="1" spans="1:8" x14ac:dyDescent="0.25">
      <c r="A1" s="9" t="s">
        <v>3</v>
      </c>
      <c r="B1" s="158"/>
    </row>
    <row r="3" spans="1:8" x14ac:dyDescent="0.25">
      <c r="A3" s="159" t="s">
        <v>360</v>
      </c>
      <c r="B3" s="160"/>
    </row>
    <row r="4" spans="1:8" x14ac:dyDescent="0.25">
      <c r="A4" s="159" t="s">
        <v>361</v>
      </c>
      <c r="B4" s="160"/>
    </row>
    <row r="5" spans="1:8" ht="15.75" thickBot="1" x14ac:dyDescent="0.3">
      <c r="G5"/>
      <c r="H5"/>
    </row>
    <row r="6" spans="1:8" ht="15.75" thickBot="1" x14ac:dyDescent="0.3">
      <c r="A6" s="10" t="s">
        <v>4</v>
      </c>
      <c r="B6" s="161" t="s">
        <v>165</v>
      </c>
      <c r="C6" s="10" t="s">
        <v>5</v>
      </c>
      <c r="D6" s="10" t="s">
        <v>6</v>
      </c>
      <c r="E6" s="10" t="s">
        <v>7</v>
      </c>
      <c r="G6" t="s">
        <v>316</v>
      </c>
      <c r="H6" t="s">
        <v>317</v>
      </c>
    </row>
    <row r="7" spans="1:8" x14ac:dyDescent="0.25">
      <c r="A7" s="11" t="s">
        <v>8</v>
      </c>
      <c r="B7" s="16">
        <f>INT(A7)</f>
        <v>42125</v>
      </c>
      <c r="C7" s="17">
        <v>0</v>
      </c>
      <c r="D7" s="17">
        <v>0.19</v>
      </c>
      <c r="E7" s="17">
        <v>0.22</v>
      </c>
      <c r="G7" t="s">
        <v>318</v>
      </c>
      <c r="H7" t="s">
        <v>319</v>
      </c>
    </row>
    <row r="8" spans="1:8" x14ac:dyDescent="0.25">
      <c r="A8" s="11" t="s">
        <v>9</v>
      </c>
      <c r="B8" s="16">
        <f t="shared" ref="B8:B71" si="0">INT(A8)</f>
        <v>42126</v>
      </c>
      <c r="C8" s="17">
        <v>0</v>
      </c>
      <c r="D8" s="17">
        <v>0.14000000000000001</v>
      </c>
      <c r="E8" s="17">
        <v>0.18</v>
      </c>
      <c r="G8" t="s">
        <v>320</v>
      </c>
      <c r="H8" t="s">
        <v>321</v>
      </c>
    </row>
    <row r="9" spans="1:8" x14ac:dyDescent="0.25">
      <c r="A9" s="11" t="s">
        <v>10</v>
      </c>
      <c r="B9" s="16">
        <f t="shared" si="0"/>
        <v>42127</v>
      </c>
      <c r="C9" s="17">
        <v>0.02</v>
      </c>
      <c r="D9" s="17">
        <v>0.18</v>
      </c>
      <c r="E9" s="17">
        <v>0.23</v>
      </c>
      <c r="G9"/>
      <c r="H9"/>
    </row>
    <row r="10" spans="1:8" x14ac:dyDescent="0.25">
      <c r="A10" s="11" t="s">
        <v>11</v>
      </c>
      <c r="B10" s="16">
        <f t="shared" si="0"/>
        <v>42128</v>
      </c>
      <c r="C10" s="17">
        <v>0.16</v>
      </c>
      <c r="D10" s="17">
        <v>0.17</v>
      </c>
      <c r="E10" s="17">
        <v>0.2</v>
      </c>
    </row>
    <row r="11" spans="1:8" x14ac:dyDescent="0.25">
      <c r="A11" s="11" t="s">
        <v>12</v>
      </c>
      <c r="B11" s="16">
        <f t="shared" si="0"/>
        <v>42129</v>
      </c>
      <c r="C11" s="17">
        <v>0.03</v>
      </c>
      <c r="D11" s="17">
        <v>0.17</v>
      </c>
      <c r="E11" s="17">
        <v>0.21</v>
      </c>
    </row>
    <row r="12" spans="1:8" x14ac:dyDescent="0.25">
      <c r="A12" s="11" t="s">
        <v>13</v>
      </c>
      <c r="B12" s="16">
        <f t="shared" si="0"/>
        <v>42130</v>
      </c>
      <c r="C12" s="17">
        <v>0.54</v>
      </c>
      <c r="D12" s="17">
        <v>0.11</v>
      </c>
      <c r="E12" s="17">
        <v>0.16</v>
      </c>
    </row>
    <row r="13" spans="1:8" x14ac:dyDescent="0.25">
      <c r="A13" s="11" t="s">
        <v>14</v>
      </c>
      <c r="B13" s="16">
        <f t="shared" si="0"/>
        <v>42131</v>
      </c>
      <c r="C13" s="17">
        <v>1</v>
      </c>
      <c r="D13" s="17">
        <v>0.16</v>
      </c>
      <c r="E13" s="17">
        <v>0.21</v>
      </c>
    </row>
    <row r="14" spans="1:8" x14ac:dyDescent="0.25">
      <c r="A14" s="11" t="s">
        <v>15</v>
      </c>
      <c r="B14" s="16">
        <f t="shared" si="0"/>
        <v>42132</v>
      </c>
      <c r="C14" s="17">
        <v>0.04</v>
      </c>
      <c r="D14" s="17">
        <v>0.19</v>
      </c>
      <c r="E14" s="17">
        <v>0.26</v>
      </c>
    </row>
    <row r="15" spans="1:8" x14ac:dyDescent="0.25">
      <c r="A15" s="11" t="s">
        <v>16</v>
      </c>
      <c r="B15" s="16">
        <f t="shared" si="0"/>
        <v>42133</v>
      </c>
      <c r="C15" s="17">
        <v>0.19</v>
      </c>
      <c r="D15" s="17">
        <v>0.11</v>
      </c>
      <c r="E15" s="17">
        <v>0.17</v>
      </c>
    </row>
    <row r="16" spans="1:8" x14ac:dyDescent="0.25">
      <c r="A16" s="11" t="s">
        <v>17</v>
      </c>
      <c r="B16" s="16">
        <f t="shared" si="0"/>
        <v>42134</v>
      </c>
      <c r="C16" s="17">
        <v>0</v>
      </c>
      <c r="D16" s="17">
        <v>0.19</v>
      </c>
      <c r="E16" s="17">
        <v>0.24</v>
      </c>
    </row>
    <row r="17" spans="1:5" x14ac:dyDescent="0.25">
      <c r="A17" s="11" t="s">
        <v>18</v>
      </c>
      <c r="B17" s="16">
        <f t="shared" si="0"/>
        <v>42135</v>
      </c>
      <c r="C17" s="17">
        <v>0</v>
      </c>
      <c r="D17" s="17">
        <v>0.21</v>
      </c>
      <c r="E17" s="17">
        <v>0.28000000000000003</v>
      </c>
    </row>
    <row r="18" spans="1:5" x14ac:dyDescent="0.25">
      <c r="A18" s="11" t="s">
        <v>19</v>
      </c>
      <c r="B18" s="16">
        <f t="shared" si="0"/>
        <v>42136</v>
      </c>
      <c r="C18" s="17">
        <v>0</v>
      </c>
      <c r="D18" s="17">
        <v>0.23</v>
      </c>
      <c r="E18" s="17">
        <v>0.31</v>
      </c>
    </row>
    <row r="19" spans="1:5" x14ac:dyDescent="0.25">
      <c r="A19" s="11" t="s">
        <v>20</v>
      </c>
      <c r="B19" s="16">
        <f t="shared" si="0"/>
        <v>42137</v>
      </c>
      <c r="C19" s="17">
        <v>0</v>
      </c>
      <c r="D19" s="17">
        <v>0.22</v>
      </c>
      <c r="E19" s="17">
        <v>0.28000000000000003</v>
      </c>
    </row>
    <row r="20" spans="1:5" x14ac:dyDescent="0.25">
      <c r="A20" s="11" t="s">
        <v>21</v>
      </c>
      <c r="B20" s="16">
        <f t="shared" si="0"/>
        <v>42138</v>
      </c>
      <c r="C20" s="17">
        <v>0.01</v>
      </c>
      <c r="D20" s="17">
        <v>0.21</v>
      </c>
      <c r="E20" s="17">
        <v>0.28999999999999998</v>
      </c>
    </row>
    <row r="21" spans="1:5" x14ac:dyDescent="0.25">
      <c r="A21" s="11" t="s">
        <v>22</v>
      </c>
      <c r="B21" s="16">
        <f t="shared" si="0"/>
        <v>42139</v>
      </c>
      <c r="C21" s="17">
        <v>0.13</v>
      </c>
      <c r="D21" s="17">
        <v>0.11</v>
      </c>
      <c r="E21" s="17">
        <v>0.17</v>
      </c>
    </row>
    <row r="22" spans="1:5" x14ac:dyDescent="0.25">
      <c r="A22" s="11" t="s">
        <v>23</v>
      </c>
      <c r="B22" s="16">
        <f t="shared" si="0"/>
        <v>42140</v>
      </c>
      <c r="C22" s="17">
        <v>0.56999999999999995</v>
      </c>
      <c r="D22" s="17">
        <v>0.13</v>
      </c>
      <c r="E22" s="17">
        <v>0.2</v>
      </c>
    </row>
    <row r="23" spans="1:5" x14ac:dyDescent="0.25">
      <c r="A23" s="11" t="s">
        <v>24</v>
      </c>
      <c r="B23" s="16">
        <f t="shared" si="0"/>
        <v>42141</v>
      </c>
      <c r="C23" s="17">
        <v>0.01</v>
      </c>
      <c r="D23" s="17">
        <v>0.13</v>
      </c>
      <c r="E23" s="17">
        <v>0.18</v>
      </c>
    </row>
    <row r="24" spans="1:5" x14ac:dyDescent="0.25">
      <c r="A24" s="11" t="s">
        <v>25</v>
      </c>
      <c r="B24" s="16">
        <f t="shared" si="0"/>
        <v>42142</v>
      </c>
      <c r="C24" s="17">
        <v>0.22</v>
      </c>
      <c r="D24" s="17">
        <v>0.17</v>
      </c>
      <c r="E24" s="17">
        <v>0.24</v>
      </c>
    </row>
    <row r="25" spans="1:5" x14ac:dyDescent="0.25">
      <c r="A25" s="11" t="s">
        <v>26</v>
      </c>
      <c r="B25" s="16">
        <f t="shared" si="0"/>
        <v>42143</v>
      </c>
      <c r="C25" s="17">
        <v>0.49</v>
      </c>
      <c r="D25" s="17">
        <v>0.11</v>
      </c>
      <c r="E25" s="17">
        <v>0.16</v>
      </c>
    </row>
    <row r="26" spans="1:5" x14ac:dyDescent="0.25">
      <c r="A26" s="11" t="s">
        <v>27</v>
      </c>
      <c r="B26" s="16">
        <f t="shared" si="0"/>
        <v>42144</v>
      </c>
      <c r="C26" s="17">
        <v>0.19</v>
      </c>
      <c r="D26" s="17">
        <v>0.22</v>
      </c>
      <c r="E26" s="17">
        <v>0.3</v>
      </c>
    </row>
    <row r="27" spans="1:5" x14ac:dyDescent="0.25">
      <c r="A27" s="11" t="s">
        <v>28</v>
      </c>
      <c r="B27" s="16">
        <f t="shared" si="0"/>
        <v>42145</v>
      </c>
      <c r="C27" s="17">
        <v>0.21</v>
      </c>
      <c r="D27" s="17">
        <v>0.21</v>
      </c>
      <c r="E27" s="17">
        <v>0.28999999999999998</v>
      </c>
    </row>
    <row r="28" spans="1:5" x14ac:dyDescent="0.25">
      <c r="A28" s="11" t="s">
        <v>29</v>
      </c>
      <c r="B28" s="16">
        <f t="shared" si="0"/>
        <v>42146</v>
      </c>
      <c r="C28" s="17">
        <v>0.01</v>
      </c>
      <c r="D28" s="17">
        <v>0.18</v>
      </c>
      <c r="E28" s="17">
        <v>0.24</v>
      </c>
    </row>
    <row r="29" spans="1:5" x14ac:dyDescent="0.25">
      <c r="A29" s="11" t="s">
        <v>30</v>
      </c>
      <c r="B29" s="16">
        <f t="shared" si="0"/>
        <v>42147</v>
      </c>
      <c r="C29" s="17">
        <v>0.5</v>
      </c>
      <c r="D29" s="17">
        <v>0.18</v>
      </c>
      <c r="E29" s="17">
        <v>0.24</v>
      </c>
    </row>
    <row r="30" spans="1:5" x14ac:dyDescent="0.25">
      <c r="A30" s="11" t="s">
        <v>31</v>
      </c>
      <c r="B30" s="16">
        <f t="shared" si="0"/>
        <v>42148</v>
      </c>
      <c r="C30" s="17">
        <v>0</v>
      </c>
      <c r="D30" s="17">
        <v>0.2</v>
      </c>
      <c r="E30" s="17">
        <v>0.26</v>
      </c>
    </row>
    <row r="31" spans="1:5" x14ac:dyDescent="0.25">
      <c r="A31" s="11" t="s">
        <v>32</v>
      </c>
      <c r="B31" s="16">
        <f t="shared" si="0"/>
        <v>42149</v>
      </c>
      <c r="C31" s="17">
        <v>0.04</v>
      </c>
      <c r="D31" s="17">
        <v>0.17</v>
      </c>
      <c r="E31" s="17">
        <v>0.23</v>
      </c>
    </row>
    <row r="32" spans="1:5" x14ac:dyDescent="0.25">
      <c r="A32" s="11" t="s">
        <v>33</v>
      </c>
      <c r="B32" s="16">
        <f t="shared" si="0"/>
        <v>42150</v>
      </c>
      <c r="C32" s="17">
        <v>0.4</v>
      </c>
      <c r="D32" s="17">
        <v>0.14000000000000001</v>
      </c>
      <c r="E32" s="17">
        <v>0.21</v>
      </c>
    </row>
    <row r="33" spans="1:5" x14ac:dyDescent="0.25">
      <c r="A33" s="11" t="s">
        <v>34</v>
      </c>
      <c r="B33" s="16">
        <f t="shared" si="0"/>
        <v>42151</v>
      </c>
      <c r="C33" s="17">
        <v>0.12</v>
      </c>
      <c r="D33" s="17">
        <v>0.18</v>
      </c>
      <c r="E33" s="17">
        <v>0.24</v>
      </c>
    </row>
    <row r="34" spans="1:5" x14ac:dyDescent="0.25">
      <c r="A34" s="11" t="s">
        <v>35</v>
      </c>
      <c r="B34" s="16">
        <f t="shared" si="0"/>
        <v>42152</v>
      </c>
      <c r="C34" s="17">
        <v>0.28000000000000003</v>
      </c>
      <c r="D34" s="17">
        <v>0.14000000000000001</v>
      </c>
      <c r="E34" s="17">
        <v>0.2</v>
      </c>
    </row>
    <row r="35" spans="1:5" x14ac:dyDescent="0.25">
      <c r="A35" s="11" t="s">
        <v>36</v>
      </c>
      <c r="B35" s="16">
        <f t="shared" si="0"/>
        <v>42153</v>
      </c>
      <c r="C35" s="17">
        <v>0</v>
      </c>
      <c r="D35" s="17">
        <v>0.21</v>
      </c>
      <c r="E35" s="17">
        <v>0.25</v>
      </c>
    </row>
    <row r="36" spans="1:5" x14ac:dyDescent="0.25">
      <c r="A36" s="11" t="s">
        <v>37</v>
      </c>
      <c r="B36" s="16">
        <f t="shared" si="0"/>
        <v>42154</v>
      </c>
      <c r="C36" s="17">
        <v>0</v>
      </c>
      <c r="D36" s="17">
        <v>0.24</v>
      </c>
      <c r="E36" s="17">
        <v>0.31</v>
      </c>
    </row>
    <row r="37" spans="1:5" x14ac:dyDescent="0.25">
      <c r="A37" s="11" t="s">
        <v>38</v>
      </c>
      <c r="B37" s="16">
        <f t="shared" si="0"/>
        <v>42155</v>
      </c>
      <c r="C37" s="17">
        <v>0</v>
      </c>
      <c r="D37" s="17">
        <v>0.24</v>
      </c>
      <c r="E37" s="17">
        <v>0.28999999999999998</v>
      </c>
    </row>
    <row r="38" spans="1:5" x14ac:dyDescent="0.25">
      <c r="A38" s="11" t="s">
        <v>39</v>
      </c>
      <c r="B38" s="16">
        <f t="shared" si="0"/>
        <v>42156</v>
      </c>
      <c r="C38" s="17">
        <v>0</v>
      </c>
      <c r="D38" s="17">
        <v>0.28999999999999998</v>
      </c>
      <c r="E38" s="17">
        <v>0.41</v>
      </c>
    </row>
    <row r="39" spans="1:5" x14ac:dyDescent="0.25">
      <c r="A39" s="11" t="s">
        <v>40</v>
      </c>
      <c r="B39" s="16">
        <f t="shared" si="0"/>
        <v>42157</v>
      </c>
      <c r="C39" s="17">
        <v>0</v>
      </c>
      <c r="D39" s="17">
        <v>0.23</v>
      </c>
      <c r="E39" s="17">
        <v>0.28999999999999998</v>
      </c>
    </row>
    <row r="40" spans="1:5" x14ac:dyDescent="0.25">
      <c r="A40" s="11" t="s">
        <v>41</v>
      </c>
      <c r="B40" s="16">
        <f t="shared" si="0"/>
        <v>42158</v>
      </c>
      <c r="C40" s="17">
        <v>0.22</v>
      </c>
      <c r="D40" s="17">
        <v>0.25</v>
      </c>
      <c r="E40" s="17">
        <v>0.32</v>
      </c>
    </row>
    <row r="41" spans="1:5" x14ac:dyDescent="0.25">
      <c r="A41" s="11" t="s">
        <v>42</v>
      </c>
      <c r="B41" s="16">
        <f t="shared" si="0"/>
        <v>42159</v>
      </c>
      <c r="C41" s="17">
        <v>0</v>
      </c>
      <c r="D41" s="17">
        <v>0.19</v>
      </c>
      <c r="E41" s="17">
        <v>0.24</v>
      </c>
    </row>
    <row r="42" spans="1:5" x14ac:dyDescent="0.25">
      <c r="A42" s="11" t="s">
        <v>43</v>
      </c>
      <c r="B42" s="16">
        <f t="shared" si="0"/>
        <v>42160</v>
      </c>
      <c r="C42" s="17">
        <v>0</v>
      </c>
      <c r="D42" s="17">
        <v>0.17</v>
      </c>
      <c r="E42" s="17">
        <v>0.22</v>
      </c>
    </row>
    <row r="43" spans="1:5" x14ac:dyDescent="0.25">
      <c r="A43" s="11" t="s">
        <v>44</v>
      </c>
      <c r="B43" s="16">
        <f t="shared" si="0"/>
        <v>42161</v>
      </c>
      <c r="C43" s="17">
        <v>0</v>
      </c>
      <c r="D43" s="17">
        <v>0.2</v>
      </c>
      <c r="E43" s="17">
        <v>0.27</v>
      </c>
    </row>
    <row r="44" spans="1:5" x14ac:dyDescent="0.25">
      <c r="A44" s="11" t="s">
        <v>45</v>
      </c>
      <c r="B44" s="16">
        <f t="shared" si="0"/>
        <v>42162</v>
      </c>
      <c r="C44" s="17">
        <v>0</v>
      </c>
      <c r="D44" s="17">
        <v>0.23</v>
      </c>
      <c r="E44" s="17">
        <v>0.28000000000000003</v>
      </c>
    </row>
    <row r="45" spans="1:5" x14ac:dyDescent="0.25">
      <c r="A45" s="11" t="s">
        <v>46</v>
      </c>
      <c r="B45" s="16">
        <f t="shared" si="0"/>
        <v>42163</v>
      </c>
      <c r="C45" s="17">
        <v>0</v>
      </c>
      <c r="D45" s="17">
        <v>0.24</v>
      </c>
      <c r="E45" s="17">
        <v>0.31</v>
      </c>
    </row>
    <row r="46" spans="1:5" x14ac:dyDescent="0.25">
      <c r="A46" s="11" t="s">
        <v>47</v>
      </c>
      <c r="B46" s="16">
        <f t="shared" si="0"/>
        <v>42164</v>
      </c>
      <c r="C46" s="17">
        <v>0</v>
      </c>
      <c r="D46" s="17">
        <v>0.23</v>
      </c>
      <c r="E46" s="17">
        <v>0.28999999999999998</v>
      </c>
    </row>
    <row r="47" spans="1:5" x14ac:dyDescent="0.25">
      <c r="A47" s="11" t="s">
        <v>48</v>
      </c>
      <c r="B47" s="16">
        <f t="shared" si="0"/>
        <v>42165</v>
      </c>
      <c r="C47" s="17">
        <v>0.84</v>
      </c>
      <c r="D47" s="17">
        <v>0.24</v>
      </c>
      <c r="E47" s="17">
        <v>0.3</v>
      </c>
    </row>
    <row r="48" spans="1:5" x14ac:dyDescent="0.25">
      <c r="A48" s="11" t="s">
        <v>49</v>
      </c>
      <c r="B48" s="16">
        <f t="shared" si="0"/>
        <v>42166</v>
      </c>
      <c r="C48" s="17">
        <v>0</v>
      </c>
      <c r="D48" s="17">
        <v>0.23</v>
      </c>
      <c r="E48" s="17">
        <v>0.28999999999999998</v>
      </c>
    </row>
    <row r="49" spans="1:5" x14ac:dyDescent="0.25">
      <c r="A49" s="11" t="s">
        <v>50</v>
      </c>
      <c r="B49" s="16">
        <f t="shared" si="0"/>
        <v>42167</v>
      </c>
      <c r="C49" s="17">
        <v>0</v>
      </c>
      <c r="D49" s="17">
        <v>0.23</v>
      </c>
      <c r="E49" s="17">
        <v>0.26</v>
      </c>
    </row>
    <row r="50" spans="1:5" x14ac:dyDescent="0.25">
      <c r="A50" s="11" t="s">
        <v>51</v>
      </c>
      <c r="B50" s="16">
        <f t="shared" si="0"/>
        <v>42168</v>
      </c>
      <c r="C50" s="17">
        <v>0</v>
      </c>
      <c r="D50" s="17">
        <v>0.22</v>
      </c>
      <c r="E50" s="17">
        <v>0.25</v>
      </c>
    </row>
    <row r="51" spans="1:5" x14ac:dyDescent="0.25">
      <c r="A51" s="11" t="s">
        <v>52</v>
      </c>
      <c r="B51" s="16">
        <f t="shared" si="0"/>
        <v>42169</v>
      </c>
      <c r="C51" s="17">
        <v>0</v>
      </c>
      <c r="D51" s="17">
        <v>0.22</v>
      </c>
      <c r="E51" s="17">
        <v>0.25</v>
      </c>
    </row>
    <row r="52" spans="1:5" x14ac:dyDescent="0.25">
      <c r="A52" s="11" t="s">
        <v>53</v>
      </c>
      <c r="B52" s="16">
        <f t="shared" si="0"/>
        <v>42170</v>
      </c>
      <c r="C52" s="17">
        <v>0</v>
      </c>
      <c r="D52" s="17">
        <v>0.25</v>
      </c>
      <c r="E52" s="17">
        <v>0.32</v>
      </c>
    </row>
    <row r="53" spans="1:5" x14ac:dyDescent="0.25">
      <c r="A53" s="11" t="s">
        <v>54</v>
      </c>
      <c r="B53" s="16">
        <f t="shared" si="0"/>
        <v>42171</v>
      </c>
      <c r="C53" s="17">
        <v>0</v>
      </c>
      <c r="D53" s="17">
        <v>0.24</v>
      </c>
      <c r="E53" s="17">
        <v>0.28000000000000003</v>
      </c>
    </row>
    <row r="54" spans="1:5" x14ac:dyDescent="0.25">
      <c r="A54" s="11" t="s">
        <v>55</v>
      </c>
      <c r="B54" s="16">
        <f t="shared" si="0"/>
        <v>42172</v>
      </c>
      <c r="C54" s="17">
        <v>0</v>
      </c>
      <c r="D54" s="17">
        <v>0.24</v>
      </c>
      <c r="E54" s="17">
        <v>0.28000000000000003</v>
      </c>
    </row>
    <row r="55" spans="1:5" x14ac:dyDescent="0.25">
      <c r="A55" s="11" t="s">
        <v>56</v>
      </c>
      <c r="B55" s="16">
        <f t="shared" si="0"/>
        <v>42173</v>
      </c>
      <c r="C55" s="17">
        <v>0</v>
      </c>
      <c r="D55" s="17">
        <v>0.24</v>
      </c>
      <c r="E55" s="17">
        <v>0.28000000000000003</v>
      </c>
    </row>
    <row r="56" spans="1:5" x14ac:dyDescent="0.25">
      <c r="A56" s="11" t="s">
        <v>57</v>
      </c>
      <c r="B56" s="16">
        <f t="shared" si="0"/>
        <v>42174</v>
      </c>
      <c r="C56" s="17">
        <v>0</v>
      </c>
      <c r="D56" s="17">
        <v>0.26</v>
      </c>
      <c r="E56" s="17">
        <v>0.31</v>
      </c>
    </row>
    <row r="57" spans="1:5" x14ac:dyDescent="0.25">
      <c r="A57" s="11" t="s">
        <v>58</v>
      </c>
      <c r="B57" s="16">
        <f t="shared" si="0"/>
        <v>42175</v>
      </c>
      <c r="C57" s="17">
        <v>0</v>
      </c>
      <c r="D57" s="17">
        <v>0.22</v>
      </c>
      <c r="E57" s="17">
        <v>0.25</v>
      </c>
    </row>
    <row r="58" spans="1:5" x14ac:dyDescent="0.25">
      <c r="A58" s="11" t="s">
        <v>59</v>
      </c>
      <c r="B58" s="16">
        <f t="shared" si="0"/>
        <v>42176</v>
      </c>
      <c r="C58" s="17">
        <v>0</v>
      </c>
      <c r="D58" s="17">
        <v>0.24</v>
      </c>
      <c r="E58" s="17">
        <v>0.28999999999999998</v>
      </c>
    </row>
    <row r="59" spans="1:5" x14ac:dyDescent="0.25">
      <c r="A59" s="11" t="s">
        <v>60</v>
      </c>
      <c r="B59" s="16">
        <f t="shared" si="0"/>
        <v>42177</v>
      </c>
      <c r="C59" s="17">
        <v>0</v>
      </c>
      <c r="D59" s="17">
        <v>0.23</v>
      </c>
      <c r="E59" s="17">
        <v>0.27</v>
      </c>
    </row>
    <row r="60" spans="1:5" x14ac:dyDescent="0.25">
      <c r="A60" s="11" t="s">
        <v>61</v>
      </c>
      <c r="B60" s="16">
        <f t="shared" si="0"/>
        <v>42178</v>
      </c>
      <c r="C60" s="17">
        <v>0</v>
      </c>
      <c r="D60" s="17">
        <v>0.23</v>
      </c>
      <c r="E60" s="17">
        <v>0.26</v>
      </c>
    </row>
    <row r="61" spans="1:5" x14ac:dyDescent="0.25">
      <c r="A61" s="11" t="s">
        <v>62</v>
      </c>
      <c r="B61" s="16">
        <f t="shared" si="0"/>
        <v>42179</v>
      </c>
      <c r="C61" s="17">
        <v>0</v>
      </c>
      <c r="D61" s="17">
        <v>0.23</v>
      </c>
      <c r="E61" s="17">
        <v>0.26</v>
      </c>
    </row>
    <row r="62" spans="1:5" x14ac:dyDescent="0.25">
      <c r="A62" s="11" t="s">
        <v>63</v>
      </c>
      <c r="B62" s="16">
        <f t="shared" si="0"/>
        <v>42180</v>
      </c>
      <c r="C62" s="17">
        <v>0</v>
      </c>
      <c r="D62" s="17">
        <v>0.23</v>
      </c>
      <c r="E62" s="17">
        <v>0.26</v>
      </c>
    </row>
    <row r="63" spans="1:5" x14ac:dyDescent="0.25">
      <c r="A63" s="11" t="s">
        <v>64</v>
      </c>
      <c r="B63" s="16">
        <f t="shared" si="0"/>
        <v>42181</v>
      </c>
      <c r="C63" s="17">
        <v>0</v>
      </c>
      <c r="D63" s="17">
        <v>0.24</v>
      </c>
      <c r="E63" s="17">
        <v>0.28999999999999998</v>
      </c>
    </row>
    <row r="64" spans="1:5" x14ac:dyDescent="0.25">
      <c r="A64" s="11" t="s">
        <v>65</v>
      </c>
      <c r="B64" s="16">
        <f t="shared" si="0"/>
        <v>42182</v>
      </c>
      <c r="C64" s="17">
        <v>0</v>
      </c>
      <c r="D64" s="17">
        <v>0.23</v>
      </c>
      <c r="E64" s="17">
        <v>0.27</v>
      </c>
    </row>
    <row r="65" spans="1:5" x14ac:dyDescent="0.25">
      <c r="A65" s="11" t="s">
        <v>66</v>
      </c>
      <c r="B65" s="16">
        <f t="shared" si="0"/>
        <v>42183</v>
      </c>
      <c r="C65" s="17">
        <v>0</v>
      </c>
      <c r="D65" s="17">
        <v>0.25</v>
      </c>
      <c r="E65" s="17">
        <v>0.28999999999999998</v>
      </c>
    </row>
    <row r="66" spans="1:5" x14ac:dyDescent="0.25">
      <c r="A66" s="11" t="s">
        <v>67</v>
      </c>
      <c r="B66" s="16">
        <f t="shared" si="0"/>
        <v>42184</v>
      </c>
      <c r="C66" s="17">
        <v>0</v>
      </c>
      <c r="D66" s="17">
        <v>0.27</v>
      </c>
      <c r="E66" s="17">
        <v>0.32</v>
      </c>
    </row>
    <row r="67" spans="1:5" x14ac:dyDescent="0.25">
      <c r="A67" s="11" t="s">
        <v>68</v>
      </c>
      <c r="B67" s="16">
        <f t="shared" si="0"/>
        <v>42185</v>
      </c>
      <c r="C67" s="17">
        <v>0</v>
      </c>
      <c r="D67" s="17">
        <v>0.24</v>
      </c>
      <c r="E67" s="17">
        <v>0.28000000000000003</v>
      </c>
    </row>
    <row r="68" spans="1:5" x14ac:dyDescent="0.25">
      <c r="A68" s="11" t="s">
        <v>69</v>
      </c>
      <c r="B68" s="16">
        <f t="shared" si="0"/>
        <v>42186</v>
      </c>
      <c r="C68" s="17">
        <v>0</v>
      </c>
      <c r="D68" s="17">
        <v>0.25</v>
      </c>
      <c r="E68" s="17">
        <v>0.3</v>
      </c>
    </row>
    <row r="69" spans="1:5" x14ac:dyDescent="0.25">
      <c r="A69" s="11" t="s">
        <v>70</v>
      </c>
      <c r="B69" s="16">
        <f t="shared" si="0"/>
        <v>42187</v>
      </c>
      <c r="C69" s="17">
        <v>0</v>
      </c>
      <c r="D69" s="17">
        <v>0.24</v>
      </c>
      <c r="E69" s="17">
        <v>0.28000000000000003</v>
      </c>
    </row>
    <row r="70" spans="1:5" x14ac:dyDescent="0.25">
      <c r="A70" s="11" t="s">
        <v>71</v>
      </c>
      <c r="B70" s="16">
        <f t="shared" si="0"/>
        <v>42188</v>
      </c>
      <c r="C70" s="17">
        <v>0</v>
      </c>
      <c r="D70" s="17">
        <v>0.23</v>
      </c>
      <c r="E70" s="17">
        <v>0.28000000000000003</v>
      </c>
    </row>
    <row r="71" spans="1:5" x14ac:dyDescent="0.25">
      <c r="A71" s="11" t="s">
        <v>72</v>
      </c>
      <c r="B71" s="16">
        <f t="shared" si="0"/>
        <v>42189</v>
      </c>
      <c r="C71" s="17">
        <v>0</v>
      </c>
      <c r="D71" s="17">
        <v>0.25</v>
      </c>
      <c r="E71" s="17">
        <v>0.28999999999999998</v>
      </c>
    </row>
    <row r="72" spans="1:5" x14ac:dyDescent="0.25">
      <c r="A72" s="11" t="s">
        <v>73</v>
      </c>
      <c r="B72" s="16">
        <f t="shared" ref="B72:B135" si="1">INT(A72)</f>
        <v>42190</v>
      </c>
      <c r="C72" s="17">
        <v>0.17</v>
      </c>
      <c r="D72" s="17">
        <v>0.15</v>
      </c>
      <c r="E72" s="17">
        <v>0.17</v>
      </c>
    </row>
    <row r="73" spans="1:5" x14ac:dyDescent="0.25">
      <c r="A73" s="11" t="s">
        <v>74</v>
      </c>
      <c r="B73" s="16">
        <f t="shared" si="1"/>
        <v>42191</v>
      </c>
      <c r="C73" s="17">
        <v>0.1</v>
      </c>
      <c r="D73" s="17">
        <v>0.19</v>
      </c>
      <c r="E73" s="17">
        <v>0.23</v>
      </c>
    </row>
    <row r="74" spans="1:5" x14ac:dyDescent="0.25">
      <c r="A74" s="11" t="s">
        <v>75</v>
      </c>
      <c r="B74" s="16">
        <f t="shared" si="1"/>
        <v>42192</v>
      </c>
      <c r="C74" s="17">
        <v>0</v>
      </c>
      <c r="D74" s="17">
        <v>0.21</v>
      </c>
      <c r="E74" s="17">
        <v>0.25</v>
      </c>
    </row>
    <row r="75" spans="1:5" x14ac:dyDescent="0.25">
      <c r="A75" s="11" t="s">
        <v>76</v>
      </c>
      <c r="B75" s="16">
        <f t="shared" si="1"/>
        <v>42193</v>
      </c>
      <c r="C75" s="17">
        <v>0.19</v>
      </c>
      <c r="D75" s="17">
        <v>0.1</v>
      </c>
      <c r="E75" s="17">
        <v>0.12</v>
      </c>
    </row>
    <row r="76" spans="1:5" x14ac:dyDescent="0.25">
      <c r="A76" s="11" t="s">
        <v>77</v>
      </c>
      <c r="B76" s="16">
        <f t="shared" si="1"/>
        <v>42194</v>
      </c>
      <c r="C76" s="17">
        <v>0.13</v>
      </c>
      <c r="D76" s="17">
        <v>0.21</v>
      </c>
      <c r="E76" s="17">
        <v>0.25</v>
      </c>
    </row>
    <row r="77" spans="1:5" x14ac:dyDescent="0.25">
      <c r="A77" s="11" t="s">
        <v>78</v>
      </c>
      <c r="B77" s="16">
        <f t="shared" si="1"/>
        <v>42195</v>
      </c>
      <c r="C77" s="17">
        <v>0</v>
      </c>
      <c r="D77" s="17">
        <v>0.24</v>
      </c>
      <c r="E77" s="17">
        <v>0.28999999999999998</v>
      </c>
    </row>
    <row r="78" spans="1:5" x14ac:dyDescent="0.25">
      <c r="A78" s="11" t="s">
        <v>79</v>
      </c>
      <c r="B78" s="16">
        <f t="shared" si="1"/>
        <v>42196</v>
      </c>
      <c r="C78" s="17">
        <v>0</v>
      </c>
      <c r="D78" s="17">
        <v>0.25</v>
      </c>
      <c r="E78" s="17">
        <v>0.32</v>
      </c>
    </row>
    <row r="79" spans="1:5" x14ac:dyDescent="0.25">
      <c r="A79" s="11" t="s">
        <v>80</v>
      </c>
      <c r="B79" s="16">
        <f t="shared" si="1"/>
        <v>42197</v>
      </c>
      <c r="C79" s="17">
        <v>0</v>
      </c>
      <c r="D79" s="17">
        <v>0.23</v>
      </c>
      <c r="E79" s="17">
        <v>0.27</v>
      </c>
    </row>
    <row r="80" spans="1:5" x14ac:dyDescent="0.25">
      <c r="A80" s="11" t="s">
        <v>81</v>
      </c>
      <c r="B80" s="16">
        <f t="shared" si="1"/>
        <v>42198</v>
      </c>
      <c r="C80" s="17">
        <v>0</v>
      </c>
      <c r="D80" s="17">
        <v>0.2</v>
      </c>
      <c r="E80" s="17">
        <v>0.24</v>
      </c>
    </row>
    <row r="81" spans="1:5" x14ac:dyDescent="0.25">
      <c r="A81" s="11" t="s">
        <v>82</v>
      </c>
      <c r="B81" s="16">
        <f t="shared" si="1"/>
        <v>42199</v>
      </c>
      <c r="C81" s="17">
        <v>0</v>
      </c>
      <c r="D81" s="17">
        <v>0.23</v>
      </c>
      <c r="E81" s="17">
        <v>0.27</v>
      </c>
    </row>
    <row r="82" spans="1:5" x14ac:dyDescent="0.25">
      <c r="A82" s="11" t="s">
        <v>83</v>
      </c>
      <c r="B82" s="16">
        <f t="shared" si="1"/>
        <v>42200</v>
      </c>
      <c r="C82" s="17">
        <v>0</v>
      </c>
      <c r="D82" s="17">
        <v>0.17</v>
      </c>
      <c r="E82" s="17">
        <v>0.21</v>
      </c>
    </row>
    <row r="83" spans="1:5" x14ac:dyDescent="0.25">
      <c r="A83" s="11" t="s">
        <v>84</v>
      </c>
      <c r="B83" s="16">
        <f t="shared" si="1"/>
        <v>42201</v>
      </c>
      <c r="C83" s="17">
        <v>0</v>
      </c>
      <c r="D83" s="17">
        <v>0.19</v>
      </c>
      <c r="E83" s="17">
        <v>0.23</v>
      </c>
    </row>
    <row r="84" spans="1:5" x14ac:dyDescent="0.25">
      <c r="A84" s="11" t="s">
        <v>85</v>
      </c>
      <c r="B84" s="16">
        <f t="shared" si="1"/>
        <v>42202</v>
      </c>
      <c r="C84" s="17">
        <v>0.01</v>
      </c>
      <c r="D84" s="17">
        <v>0.13</v>
      </c>
      <c r="E84" s="17">
        <v>0.16</v>
      </c>
    </row>
    <row r="85" spans="1:5" x14ac:dyDescent="0.25">
      <c r="A85" s="11" t="s">
        <v>86</v>
      </c>
      <c r="B85" s="16">
        <f t="shared" si="1"/>
        <v>42203</v>
      </c>
      <c r="C85" s="17">
        <v>0.1</v>
      </c>
      <c r="D85" s="17">
        <v>0.13</v>
      </c>
      <c r="E85" s="17">
        <v>0.16</v>
      </c>
    </row>
    <row r="86" spans="1:5" x14ac:dyDescent="0.25">
      <c r="A86" s="11" t="s">
        <v>87</v>
      </c>
      <c r="B86" s="16">
        <f t="shared" si="1"/>
        <v>42204</v>
      </c>
      <c r="C86" s="17">
        <v>0</v>
      </c>
      <c r="D86" s="17">
        <v>0.21</v>
      </c>
      <c r="E86" s="17">
        <v>0.24</v>
      </c>
    </row>
    <row r="87" spans="1:5" x14ac:dyDescent="0.25">
      <c r="A87" s="11" t="s">
        <v>88</v>
      </c>
      <c r="B87" s="16">
        <f t="shared" si="1"/>
        <v>42205</v>
      </c>
      <c r="C87" s="17">
        <v>0.02</v>
      </c>
      <c r="D87" s="17">
        <v>0.16</v>
      </c>
      <c r="E87" s="17">
        <v>0.19</v>
      </c>
    </row>
    <row r="88" spans="1:5" x14ac:dyDescent="0.25">
      <c r="A88" s="11" t="s">
        <v>89</v>
      </c>
      <c r="B88" s="16">
        <f t="shared" si="1"/>
        <v>42206</v>
      </c>
      <c r="C88" s="17">
        <v>0</v>
      </c>
      <c r="D88" s="17">
        <v>0.19</v>
      </c>
      <c r="E88" s="17">
        <v>0.23</v>
      </c>
    </row>
    <row r="89" spans="1:5" x14ac:dyDescent="0.25">
      <c r="A89" s="11" t="s">
        <v>90</v>
      </c>
      <c r="B89" s="16">
        <f t="shared" si="1"/>
        <v>42207</v>
      </c>
      <c r="C89" s="17">
        <v>0</v>
      </c>
      <c r="D89" s="17">
        <v>0.23</v>
      </c>
      <c r="E89" s="17">
        <v>0.28000000000000003</v>
      </c>
    </row>
    <row r="90" spans="1:5" x14ac:dyDescent="0.25">
      <c r="A90" s="11" t="s">
        <v>91</v>
      </c>
      <c r="B90" s="16">
        <f t="shared" si="1"/>
        <v>42208</v>
      </c>
      <c r="C90" s="17">
        <v>0.01</v>
      </c>
      <c r="D90" s="17">
        <v>0.22</v>
      </c>
      <c r="E90" s="17">
        <v>0.27</v>
      </c>
    </row>
    <row r="91" spans="1:5" x14ac:dyDescent="0.25">
      <c r="A91" s="11" t="s">
        <v>92</v>
      </c>
      <c r="B91" s="16">
        <f t="shared" si="1"/>
        <v>42209</v>
      </c>
      <c r="C91" s="17">
        <v>0</v>
      </c>
      <c r="D91" s="17">
        <v>0.23</v>
      </c>
      <c r="E91" s="17">
        <v>0.28000000000000003</v>
      </c>
    </row>
    <row r="92" spans="1:5" x14ac:dyDescent="0.25">
      <c r="A92" s="11" t="s">
        <v>93</v>
      </c>
      <c r="B92" s="16">
        <f t="shared" si="1"/>
        <v>42210</v>
      </c>
      <c r="C92" s="17">
        <v>0</v>
      </c>
      <c r="D92" s="17">
        <v>0.23</v>
      </c>
      <c r="E92" s="17">
        <v>0.28000000000000003</v>
      </c>
    </row>
    <row r="93" spans="1:5" x14ac:dyDescent="0.25">
      <c r="A93" s="11" t="s">
        <v>94</v>
      </c>
      <c r="B93" s="16">
        <f t="shared" si="1"/>
        <v>42211</v>
      </c>
      <c r="C93" s="17">
        <v>0</v>
      </c>
      <c r="D93" s="17">
        <v>0.25</v>
      </c>
      <c r="E93" s="17">
        <v>0.31</v>
      </c>
    </row>
    <row r="94" spans="1:5" x14ac:dyDescent="0.25">
      <c r="A94" s="11" t="s">
        <v>95</v>
      </c>
      <c r="B94" s="16">
        <f t="shared" si="1"/>
        <v>42212</v>
      </c>
      <c r="C94" s="17">
        <v>0.05</v>
      </c>
      <c r="D94" s="17">
        <v>0.15</v>
      </c>
      <c r="E94" s="17">
        <v>0.19</v>
      </c>
    </row>
    <row r="95" spans="1:5" x14ac:dyDescent="0.25">
      <c r="A95" s="11" t="s">
        <v>96</v>
      </c>
      <c r="B95" s="16">
        <f t="shared" si="1"/>
        <v>42213</v>
      </c>
      <c r="C95" s="17">
        <v>0</v>
      </c>
      <c r="D95" s="17">
        <v>0.2</v>
      </c>
      <c r="E95" s="17">
        <v>0.24</v>
      </c>
    </row>
    <row r="96" spans="1:5" x14ac:dyDescent="0.25">
      <c r="A96" s="11" t="s">
        <v>97</v>
      </c>
      <c r="B96" s="16">
        <f t="shared" si="1"/>
        <v>42214</v>
      </c>
      <c r="C96" s="17">
        <v>0</v>
      </c>
      <c r="D96" s="17">
        <v>0.22</v>
      </c>
      <c r="E96" s="17">
        <v>0.26</v>
      </c>
    </row>
    <row r="97" spans="1:5" x14ac:dyDescent="0.25">
      <c r="A97" s="11" t="s">
        <v>98</v>
      </c>
      <c r="B97" s="16">
        <f t="shared" si="1"/>
        <v>42215</v>
      </c>
      <c r="C97" s="17">
        <v>0</v>
      </c>
      <c r="D97" s="17">
        <v>0.22</v>
      </c>
      <c r="E97" s="17">
        <v>0.26</v>
      </c>
    </row>
    <row r="98" spans="1:5" x14ac:dyDescent="0.25">
      <c r="A98" s="11" t="s">
        <v>99</v>
      </c>
      <c r="B98" s="16">
        <f t="shared" si="1"/>
        <v>42217</v>
      </c>
      <c r="C98" s="17">
        <v>0</v>
      </c>
      <c r="D98" s="17">
        <v>0.22</v>
      </c>
      <c r="E98" s="17">
        <v>0.27</v>
      </c>
    </row>
    <row r="99" spans="1:5" x14ac:dyDescent="0.25">
      <c r="A99" s="11" t="s">
        <v>100</v>
      </c>
      <c r="B99" s="16">
        <f t="shared" si="1"/>
        <v>42218</v>
      </c>
      <c r="C99" s="17">
        <v>0</v>
      </c>
      <c r="D99" s="17">
        <v>0.23</v>
      </c>
      <c r="E99" s="17">
        <v>0.28000000000000003</v>
      </c>
    </row>
    <row r="100" spans="1:5" x14ac:dyDescent="0.25">
      <c r="A100" s="11" t="s">
        <v>101</v>
      </c>
      <c r="B100" s="16">
        <f t="shared" si="1"/>
        <v>42219</v>
      </c>
      <c r="C100" s="17">
        <v>0.52</v>
      </c>
      <c r="D100" s="17">
        <v>0.05</v>
      </c>
      <c r="E100" s="17">
        <v>0.06</v>
      </c>
    </row>
    <row r="101" spans="1:5" x14ac:dyDescent="0.25">
      <c r="A101" s="11" t="s">
        <v>102</v>
      </c>
      <c r="B101" s="16">
        <f t="shared" si="1"/>
        <v>42220</v>
      </c>
      <c r="C101" s="17">
        <v>0</v>
      </c>
      <c r="D101" s="17">
        <v>0.2</v>
      </c>
      <c r="E101" s="17">
        <v>0.23</v>
      </c>
    </row>
    <row r="102" spans="1:5" x14ac:dyDescent="0.25">
      <c r="A102" s="11" t="s">
        <v>103</v>
      </c>
      <c r="B102" s="16">
        <f t="shared" si="1"/>
        <v>42221</v>
      </c>
      <c r="C102" s="17">
        <v>0</v>
      </c>
      <c r="D102" s="17">
        <v>0.16</v>
      </c>
      <c r="E102" s="17">
        <v>0.21</v>
      </c>
    </row>
    <row r="103" spans="1:5" x14ac:dyDescent="0.25">
      <c r="A103" s="11" t="s">
        <v>104</v>
      </c>
      <c r="B103" s="16">
        <f t="shared" si="1"/>
        <v>42222</v>
      </c>
      <c r="C103" s="17">
        <v>0</v>
      </c>
      <c r="D103" s="17">
        <v>0.21</v>
      </c>
      <c r="E103" s="17">
        <v>0.24</v>
      </c>
    </row>
    <row r="104" spans="1:5" x14ac:dyDescent="0.25">
      <c r="A104" s="11" t="s">
        <v>105</v>
      </c>
      <c r="B104" s="16">
        <f t="shared" si="1"/>
        <v>42223</v>
      </c>
      <c r="C104" s="17">
        <v>0.1</v>
      </c>
      <c r="D104" s="17">
        <v>0.09</v>
      </c>
      <c r="E104" s="17">
        <v>0.11</v>
      </c>
    </row>
    <row r="105" spans="1:5" x14ac:dyDescent="0.25">
      <c r="A105" s="11" t="s">
        <v>106</v>
      </c>
      <c r="B105" s="16">
        <f t="shared" si="1"/>
        <v>42224</v>
      </c>
      <c r="C105" s="17">
        <v>0</v>
      </c>
      <c r="D105" s="17">
        <v>0.15</v>
      </c>
      <c r="E105" s="17">
        <v>0.18</v>
      </c>
    </row>
    <row r="106" spans="1:5" x14ac:dyDescent="0.25">
      <c r="A106" s="11" t="s">
        <v>107</v>
      </c>
      <c r="B106" s="16">
        <f t="shared" si="1"/>
        <v>42225</v>
      </c>
      <c r="C106" s="17">
        <v>0</v>
      </c>
      <c r="D106" s="17">
        <v>0.19</v>
      </c>
      <c r="E106" s="17">
        <v>0.22</v>
      </c>
    </row>
    <row r="107" spans="1:5" x14ac:dyDescent="0.25">
      <c r="A107" s="11" t="s">
        <v>108</v>
      </c>
      <c r="B107" s="16">
        <f t="shared" si="1"/>
        <v>42226</v>
      </c>
      <c r="C107" s="17">
        <v>0</v>
      </c>
      <c r="D107" s="17">
        <v>0.19</v>
      </c>
      <c r="E107" s="17">
        <v>0.22</v>
      </c>
    </row>
    <row r="108" spans="1:5" x14ac:dyDescent="0.25">
      <c r="A108" s="11" t="s">
        <v>109</v>
      </c>
      <c r="B108" s="16">
        <f t="shared" si="1"/>
        <v>42227</v>
      </c>
      <c r="C108" s="17">
        <v>0.2</v>
      </c>
      <c r="D108" s="17">
        <v>0.21</v>
      </c>
      <c r="E108" s="17">
        <v>0.25</v>
      </c>
    </row>
    <row r="109" spans="1:5" x14ac:dyDescent="0.25">
      <c r="A109" s="11" t="s">
        <v>110</v>
      </c>
      <c r="B109" s="16">
        <f t="shared" si="1"/>
        <v>42228</v>
      </c>
      <c r="C109" s="17">
        <v>0</v>
      </c>
      <c r="D109" s="17">
        <v>0.17</v>
      </c>
      <c r="E109" s="17">
        <v>0.2</v>
      </c>
    </row>
    <row r="110" spans="1:5" x14ac:dyDescent="0.25">
      <c r="A110" s="11" t="s">
        <v>111</v>
      </c>
      <c r="B110" s="16">
        <f t="shared" si="1"/>
        <v>42229</v>
      </c>
      <c r="C110" s="17">
        <v>0</v>
      </c>
      <c r="D110" s="17">
        <v>0.21</v>
      </c>
      <c r="E110" s="17">
        <v>0.25</v>
      </c>
    </row>
    <row r="111" spans="1:5" x14ac:dyDescent="0.25">
      <c r="A111" s="11" t="s">
        <v>112</v>
      </c>
      <c r="B111" s="16">
        <f t="shared" si="1"/>
        <v>42230</v>
      </c>
      <c r="C111" s="17">
        <v>0</v>
      </c>
      <c r="D111" s="17">
        <v>0.21</v>
      </c>
      <c r="E111" s="17">
        <v>0.26</v>
      </c>
    </row>
    <row r="112" spans="1:5" x14ac:dyDescent="0.25">
      <c r="A112" s="11" t="s">
        <v>113</v>
      </c>
      <c r="B112" s="16">
        <f t="shared" si="1"/>
        <v>42231</v>
      </c>
      <c r="C112" s="17">
        <v>0</v>
      </c>
      <c r="D112" s="17">
        <v>0.2</v>
      </c>
      <c r="E112" s="17">
        <v>0.24</v>
      </c>
    </row>
    <row r="113" spans="1:5" x14ac:dyDescent="0.25">
      <c r="A113" s="11" t="s">
        <v>114</v>
      </c>
      <c r="B113" s="16">
        <f t="shared" si="1"/>
        <v>42232</v>
      </c>
      <c r="C113" s="17">
        <v>0</v>
      </c>
      <c r="D113" s="17">
        <v>0.18</v>
      </c>
      <c r="E113" s="17">
        <v>0.21</v>
      </c>
    </row>
    <row r="114" spans="1:5" x14ac:dyDescent="0.25">
      <c r="A114" s="11" t="s">
        <v>115</v>
      </c>
      <c r="B114" s="16">
        <f t="shared" si="1"/>
        <v>42233</v>
      </c>
      <c r="C114" s="17">
        <v>0</v>
      </c>
      <c r="D114" s="17">
        <v>0.22</v>
      </c>
      <c r="E114" s="17">
        <v>0.28000000000000003</v>
      </c>
    </row>
    <row r="115" spans="1:5" x14ac:dyDescent="0.25">
      <c r="A115" s="11" t="s">
        <v>116</v>
      </c>
      <c r="B115" s="16">
        <f t="shared" si="1"/>
        <v>42234</v>
      </c>
      <c r="C115" s="17">
        <v>0</v>
      </c>
      <c r="D115" s="17">
        <v>0.2</v>
      </c>
      <c r="E115" s="17">
        <v>0.24</v>
      </c>
    </row>
    <row r="116" spans="1:5" x14ac:dyDescent="0.25">
      <c r="A116" s="11" t="s">
        <v>117</v>
      </c>
      <c r="B116" s="16">
        <f t="shared" si="1"/>
        <v>42235</v>
      </c>
      <c r="C116" s="17">
        <v>0</v>
      </c>
      <c r="D116" s="17">
        <v>0.18</v>
      </c>
      <c r="E116" s="17">
        <v>0.21</v>
      </c>
    </row>
    <row r="117" spans="1:5" x14ac:dyDescent="0.25">
      <c r="A117" s="11" t="s">
        <v>118</v>
      </c>
      <c r="B117" s="16">
        <f t="shared" si="1"/>
        <v>42236</v>
      </c>
      <c r="C117" s="17">
        <v>0</v>
      </c>
      <c r="D117" s="17">
        <v>0.18</v>
      </c>
      <c r="E117" s="17">
        <v>0.22</v>
      </c>
    </row>
    <row r="118" spans="1:5" x14ac:dyDescent="0.25">
      <c r="A118" s="11" t="s">
        <v>119</v>
      </c>
      <c r="B118" s="16">
        <f t="shared" si="1"/>
        <v>42237</v>
      </c>
      <c r="C118" s="17">
        <v>0</v>
      </c>
      <c r="D118" s="17">
        <v>0.2</v>
      </c>
      <c r="E118" s="17">
        <v>0.25</v>
      </c>
    </row>
    <row r="119" spans="1:5" x14ac:dyDescent="0.25">
      <c r="A119" s="11" t="s">
        <v>120</v>
      </c>
      <c r="B119" s="16">
        <f t="shared" si="1"/>
        <v>42238</v>
      </c>
      <c r="C119" s="17">
        <v>0</v>
      </c>
      <c r="D119" s="17">
        <v>0.19</v>
      </c>
      <c r="E119" s="17">
        <v>0.24</v>
      </c>
    </row>
    <row r="120" spans="1:5" x14ac:dyDescent="0.25">
      <c r="A120" s="11" t="s">
        <v>121</v>
      </c>
      <c r="B120" s="16">
        <f t="shared" si="1"/>
        <v>42239</v>
      </c>
      <c r="C120" s="17">
        <v>0</v>
      </c>
      <c r="D120" s="17">
        <v>0.17</v>
      </c>
      <c r="E120" s="17">
        <v>0.21</v>
      </c>
    </row>
    <row r="121" spans="1:5" x14ac:dyDescent="0.25">
      <c r="A121" s="11" t="s">
        <v>122</v>
      </c>
      <c r="B121" s="16">
        <f t="shared" si="1"/>
        <v>42240</v>
      </c>
      <c r="C121" s="17">
        <v>0</v>
      </c>
      <c r="D121" s="17">
        <v>0.19</v>
      </c>
      <c r="E121" s="17">
        <v>0.22</v>
      </c>
    </row>
    <row r="122" spans="1:5" x14ac:dyDescent="0.25">
      <c r="A122" s="11" t="s">
        <v>123</v>
      </c>
      <c r="B122" s="16">
        <f t="shared" si="1"/>
        <v>42241</v>
      </c>
      <c r="C122" s="17">
        <v>0</v>
      </c>
      <c r="D122" s="17">
        <v>0.2</v>
      </c>
      <c r="E122" s="17">
        <v>0.25</v>
      </c>
    </row>
    <row r="123" spans="1:5" x14ac:dyDescent="0.25">
      <c r="A123" s="11" t="s">
        <v>124</v>
      </c>
      <c r="B123" s="16">
        <f t="shared" si="1"/>
        <v>42242</v>
      </c>
      <c r="C123" s="17">
        <v>0.02</v>
      </c>
      <c r="D123" s="17">
        <v>0.09</v>
      </c>
      <c r="E123" s="17">
        <v>0.11</v>
      </c>
    </row>
    <row r="124" spans="1:5" x14ac:dyDescent="0.25">
      <c r="A124" s="11" t="s">
        <v>125</v>
      </c>
      <c r="B124" s="16">
        <f t="shared" si="1"/>
        <v>42243</v>
      </c>
      <c r="C124" s="17">
        <v>0</v>
      </c>
      <c r="D124" s="17">
        <v>0.18</v>
      </c>
      <c r="E124" s="17">
        <v>0.21</v>
      </c>
    </row>
    <row r="125" spans="1:5" x14ac:dyDescent="0.25">
      <c r="A125" s="11" t="s">
        <v>126</v>
      </c>
      <c r="B125" s="16">
        <f t="shared" si="1"/>
        <v>42244</v>
      </c>
      <c r="C125" s="17">
        <v>0</v>
      </c>
      <c r="D125" s="17">
        <v>0.18</v>
      </c>
      <c r="E125" s="17">
        <v>0.21</v>
      </c>
    </row>
    <row r="126" spans="1:5" x14ac:dyDescent="0.25">
      <c r="A126" s="11" t="s">
        <v>127</v>
      </c>
      <c r="B126" s="16">
        <f t="shared" si="1"/>
        <v>42245</v>
      </c>
      <c r="C126" s="17">
        <v>0</v>
      </c>
      <c r="D126" s="17">
        <v>0.19</v>
      </c>
      <c r="E126" s="17">
        <v>0.25</v>
      </c>
    </row>
    <row r="127" spans="1:5" x14ac:dyDescent="0.25">
      <c r="A127" s="11" t="s">
        <v>128</v>
      </c>
      <c r="B127" s="16">
        <f t="shared" si="1"/>
        <v>42246</v>
      </c>
      <c r="C127" s="17">
        <v>0</v>
      </c>
      <c r="D127" s="17">
        <v>0.21</v>
      </c>
      <c r="E127" s="17">
        <v>0.26</v>
      </c>
    </row>
    <row r="128" spans="1:5" x14ac:dyDescent="0.25">
      <c r="A128" s="11" t="s">
        <v>129</v>
      </c>
      <c r="B128" s="16">
        <f t="shared" si="1"/>
        <v>42247</v>
      </c>
      <c r="C128" s="17">
        <v>0</v>
      </c>
      <c r="D128" s="17">
        <v>0.18</v>
      </c>
      <c r="E128" s="17">
        <v>0.21</v>
      </c>
    </row>
    <row r="129" spans="1:5" x14ac:dyDescent="0.25">
      <c r="A129" s="11" t="s">
        <v>130</v>
      </c>
      <c r="B129" s="16">
        <f t="shared" si="1"/>
        <v>42248</v>
      </c>
      <c r="C129" s="17">
        <v>0</v>
      </c>
      <c r="D129" s="17">
        <v>0.18</v>
      </c>
      <c r="E129" s="17">
        <v>0.23</v>
      </c>
    </row>
    <row r="130" spans="1:5" x14ac:dyDescent="0.25">
      <c r="A130" s="11" t="s">
        <v>131</v>
      </c>
      <c r="B130" s="16">
        <f t="shared" si="1"/>
        <v>42249</v>
      </c>
      <c r="C130" s="17">
        <v>0</v>
      </c>
      <c r="D130" s="17">
        <v>0.26</v>
      </c>
      <c r="E130" s="17">
        <v>0.35</v>
      </c>
    </row>
    <row r="131" spans="1:5" x14ac:dyDescent="0.25">
      <c r="A131" s="11" t="s">
        <v>132</v>
      </c>
      <c r="B131" s="16">
        <f t="shared" si="1"/>
        <v>42250</v>
      </c>
      <c r="C131" s="17">
        <v>0</v>
      </c>
      <c r="D131" s="17">
        <v>0.26</v>
      </c>
      <c r="E131" s="17">
        <v>0.36</v>
      </c>
    </row>
    <row r="132" spans="1:5" x14ac:dyDescent="0.25">
      <c r="A132" s="11" t="s">
        <v>133</v>
      </c>
      <c r="B132" s="16">
        <f t="shared" si="1"/>
        <v>42251</v>
      </c>
      <c r="C132" s="17">
        <v>0</v>
      </c>
      <c r="D132" s="17">
        <v>0.24</v>
      </c>
      <c r="E132" s="17">
        <v>0.33</v>
      </c>
    </row>
    <row r="133" spans="1:5" x14ac:dyDescent="0.25">
      <c r="A133" s="11" t="s">
        <v>134</v>
      </c>
      <c r="B133" s="16">
        <f t="shared" si="1"/>
        <v>42252</v>
      </c>
      <c r="C133" s="17">
        <v>0</v>
      </c>
      <c r="D133" s="17">
        <v>0.18</v>
      </c>
      <c r="E133" s="17">
        <v>0.24</v>
      </c>
    </row>
    <row r="134" spans="1:5" x14ac:dyDescent="0.25">
      <c r="A134" s="11" t="s">
        <v>135</v>
      </c>
      <c r="B134" s="16">
        <f t="shared" si="1"/>
        <v>42253</v>
      </c>
      <c r="C134" s="17">
        <v>0</v>
      </c>
      <c r="D134" s="17">
        <v>0.14000000000000001</v>
      </c>
      <c r="E134" s="17">
        <v>0.17</v>
      </c>
    </row>
    <row r="135" spans="1:5" x14ac:dyDescent="0.25">
      <c r="A135" s="11" t="s">
        <v>136</v>
      </c>
      <c r="B135" s="16">
        <f t="shared" si="1"/>
        <v>42254</v>
      </c>
      <c r="C135" s="17">
        <v>0</v>
      </c>
      <c r="D135" s="17">
        <v>0.16</v>
      </c>
      <c r="E135" s="17">
        <v>0.2</v>
      </c>
    </row>
    <row r="136" spans="1:5" x14ac:dyDescent="0.25">
      <c r="A136" s="11" t="s">
        <v>137</v>
      </c>
      <c r="B136" s="16">
        <f t="shared" ref="B136:B158" si="2">INT(A136)</f>
        <v>42255</v>
      </c>
      <c r="C136" s="17">
        <v>0</v>
      </c>
      <c r="D136" s="17">
        <v>0.16</v>
      </c>
      <c r="E136" s="17">
        <v>0.19</v>
      </c>
    </row>
    <row r="137" spans="1:5" x14ac:dyDescent="0.25">
      <c r="A137" s="11" t="s">
        <v>138</v>
      </c>
      <c r="B137" s="16">
        <f t="shared" si="2"/>
        <v>42256</v>
      </c>
      <c r="C137" s="17">
        <v>0</v>
      </c>
      <c r="D137" s="17">
        <v>0.17</v>
      </c>
      <c r="E137" s="17">
        <v>0.2</v>
      </c>
    </row>
    <row r="138" spans="1:5" x14ac:dyDescent="0.25">
      <c r="A138" s="11" t="s">
        <v>139</v>
      </c>
      <c r="B138" s="16">
        <f t="shared" si="2"/>
        <v>42257</v>
      </c>
      <c r="C138" s="17">
        <v>0</v>
      </c>
      <c r="D138" s="17">
        <v>0.16</v>
      </c>
      <c r="E138" s="17">
        <v>0.2</v>
      </c>
    </row>
    <row r="139" spans="1:5" x14ac:dyDescent="0.25">
      <c r="A139" s="11" t="s">
        <v>140</v>
      </c>
      <c r="B139" s="16">
        <f t="shared" si="2"/>
        <v>42258</v>
      </c>
      <c r="C139" s="17">
        <v>0</v>
      </c>
      <c r="D139" s="17">
        <v>0.16</v>
      </c>
      <c r="E139" s="17">
        <v>0.2</v>
      </c>
    </row>
    <row r="140" spans="1:5" x14ac:dyDescent="0.25">
      <c r="A140" s="11" t="s">
        <v>141</v>
      </c>
      <c r="B140" s="16">
        <f t="shared" si="2"/>
        <v>42259</v>
      </c>
      <c r="C140" s="17">
        <v>0</v>
      </c>
      <c r="D140" s="17">
        <v>0.16</v>
      </c>
      <c r="E140" s="17">
        <v>0.19</v>
      </c>
    </row>
    <row r="141" spans="1:5" x14ac:dyDescent="0.25">
      <c r="A141" s="11" t="s">
        <v>142</v>
      </c>
      <c r="B141" s="16">
        <f t="shared" si="2"/>
        <v>42260</v>
      </c>
      <c r="C141" s="17">
        <v>0</v>
      </c>
      <c r="D141" s="17">
        <v>0.13</v>
      </c>
      <c r="E141" s="17">
        <v>0.16</v>
      </c>
    </row>
    <row r="142" spans="1:5" x14ac:dyDescent="0.25">
      <c r="A142" s="11" t="s">
        <v>143</v>
      </c>
      <c r="B142" s="16">
        <f t="shared" si="2"/>
        <v>42261</v>
      </c>
      <c r="C142" s="17">
        <v>0.12</v>
      </c>
      <c r="D142" s="17">
        <v>0.09</v>
      </c>
      <c r="E142" s="17">
        <v>0.12</v>
      </c>
    </row>
    <row r="143" spans="1:5" x14ac:dyDescent="0.25">
      <c r="A143" s="11" t="s">
        <v>144</v>
      </c>
      <c r="B143" s="16">
        <f t="shared" si="2"/>
        <v>42262</v>
      </c>
      <c r="C143" s="17">
        <v>0.24</v>
      </c>
      <c r="D143" s="17">
        <v>0.06</v>
      </c>
      <c r="E143" s="17">
        <v>0.08</v>
      </c>
    </row>
    <row r="144" spans="1:5" x14ac:dyDescent="0.25">
      <c r="A144" s="11" t="s">
        <v>145</v>
      </c>
      <c r="B144" s="16">
        <f t="shared" si="2"/>
        <v>42263</v>
      </c>
      <c r="C144" s="17">
        <v>1.2</v>
      </c>
      <c r="D144" s="17">
        <v>0.03</v>
      </c>
      <c r="E144" s="17">
        <v>0.04</v>
      </c>
    </row>
    <row r="145" spans="1:5" x14ac:dyDescent="0.25">
      <c r="A145" s="11" t="s">
        <v>146</v>
      </c>
      <c r="B145" s="16">
        <f t="shared" si="2"/>
        <v>42264</v>
      </c>
      <c r="C145" s="17">
        <v>0.08</v>
      </c>
      <c r="D145" s="17">
        <v>0.06</v>
      </c>
      <c r="E145" s="17">
        <v>7.0000000000000007E-2</v>
      </c>
    </row>
    <row r="146" spans="1:5" x14ac:dyDescent="0.25">
      <c r="A146" s="11" t="s">
        <v>147</v>
      </c>
      <c r="B146" s="16">
        <f t="shared" si="2"/>
        <v>42265</v>
      </c>
      <c r="C146" s="17">
        <v>0.01</v>
      </c>
      <c r="D146" s="17">
        <v>0.12</v>
      </c>
      <c r="E146" s="17">
        <v>0.14000000000000001</v>
      </c>
    </row>
    <row r="147" spans="1:5" x14ac:dyDescent="0.25">
      <c r="A147" s="11" t="s">
        <v>148</v>
      </c>
      <c r="B147" s="16">
        <f t="shared" si="2"/>
        <v>42266</v>
      </c>
      <c r="C147" s="17">
        <v>0</v>
      </c>
      <c r="D147" s="17">
        <v>0.12</v>
      </c>
      <c r="E147" s="17">
        <v>0.15</v>
      </c>
    </row>
    <row r="148" spans="1:5" x14ac:dyDescent="0.25">
      <c r="A148" s="11" t="s">
        <v>149</v>
      </c>
      <c r="B148" s="16">
        <f t="shared" si="2"/>
        <v>42267</v>
      </c>
      <c r="C148" s="17">
        <v>0</v>
      </c>
      <c r="D148" s="17">
        <v>0.13</v>
      </c>
      <c r="E148" s="17">
        <v>0.15</v>
      </c>
    </row>
    <row r="149" spans="1:5" x14ac:dyDescent="0.25">
      <c r="A149" s="11" t="s">
        <v>150</v>
      </c>
      <c r="B149" s="16">
        <f t="shared" si="2"/>
        <v>42268</v>
      </c>
      <c r="C149" s="17">
        <v>0</v>
      </c>
      <c r="D149" s="17">
        <v>0.14000000000000001</v>
      </c>
      <c r="E149" s="17">
        <v>0.16</v>
      </c>
    </row>
    <row r="150" spans="1:5" x14ac:dyDescent="0.25">
      <c r="A150" s="11" t="s">
        <v>151</v>
      </c>
      <c r="B150" s="16">
        <f t="shared" si="2"/>
        <v>42269</v>
      </c>
      <c r="C150" s="17">
        <v>0</v>
      </c>
      <c r="D150" s="17">
        <v>0.14000000000000001</v>
      </c>
      <c r="E150" s="17">
        <v>0.16</v>
      </c>
    </row>
    <row r="151" spans="1:5" x14ac:dyDescent="0.25">
      <c r="A151" s="11" t="s">
        <v>152</v>
      </c>
      <c r="B151" s="16">
        <f t="shared" si="2"/>
        <v>42270</v>
      </c>
      <c r="C151" s="17">
        <v>0</v>
      </c>
      <c r="D151" s="17">
        <v>0.14000000000000001</v>
      </c>
      <c r="E151" s="17">
        <v>0.16</v>
      </c>
    </row>
    <row r="152" spans="1:5" x14ac:dyDescent="0.25">
      <c r="A152" s="11" t="s">
        <v>153</v>
      </c>
      <c r="B152" s="16">
        <f t="shared" si="2"/>
        <v>42271</v>
      </c>
      <c r="C152" s="17">
        <v>0</v>
      </c>
      <c r="D152" s="17">
        <v>0.13</v>
      </c>
      <c r="E152" s="17">
        <v>0.15</v>
      </c>
    </row>
    <row r="153" spans="1:5" x14ac:dyDescent="0.25">
      <c r="A153" s="11" t="s">
        <v>154</v>
      </c>
      <c r="B153" s="16">
        <f t="shared" si="2"/>
        <v>42272</v>
      </c>
      <c r="C153" s="17">
        <v>0</v>
      </c>
      <c r="D153" s="17">
        <v>0.14000000000000001</v>
      </c>
      <c r="E153" s="17">
        <v>0.16</v>
      </c>
    </row>
    <row r="154" spans="1:5" x14ac:dyDescent="0.25">
      <c r="A154" s="11" t="s">
        <v>155</v>
      </c>
      <c r="B154" s="16">
        <f t="shared" si="2"/>
        <v>42273</v>
      </c>
      <c r="C154" s="17">
        <v>0</v>
      </c>
      <c r="D154" s="17">
        <v>0.13</v>
      </c>
      <c r="E154" s="17">
        <v>0.17</v>
      </c>
    </row>
    <row r="155" spans="1:5" x14ac:dyDescent="0.25">
      <c r="A155" s="11" t="s">
        <v>156</v>
      </c>
      <c r="B155" s="16">
        <f t="shared" si="2"/>
        <v>42274</v>
      </c>
      <c r="C155" s="17">
        <v>0</v>
      </c>
      <c r="D155" s="17">
        <v>0.13</v>
      </c>
      <c r="E155" s="17">
        <v>0.16</v>
      </c>
    </row>
    <row r="156" spans="1:5" x14ac:dyDescent="0.25">
      <c r="A156" s="11" t="s">
        <v>157</v>
      </c>
      <c r="B156" s="16">
        <f t="shared" si="2"/>
        <v>42275</v>
      </c>
      <c r="C156" s="17">
        <v>0</v>
      </c>
      <c r="D156" s="17">
        <v>0.12</v>
      </c>
      <c r="E156" s="17">
        <v>0.14000000000000001</v>
      </c>
    </row>
    <row r="157" spans="1:5" x14ac:dyDescent="0.25">
      <c r="A157" s="11" t="s">
        <v>158</v>
      </c>
      <c r="B157" s="16">
        <f t="shared" si="2"/>
        <v>42276</v>
      </c>
      <c r="C157" s="17">
        <v>0</v>
      </c>
      <c r="D157" s="17">
        <v>0.12</v>
      </c>
      <c r="E157" s="17">
        <v>0.15</v>
      </c>
    </row>
    <row r="158" spans="1:5" x14ac:dyDescent="0.25">
      <c r="A158" s="11" t="s">
        <v>159</v>
      </c>
      <c r="B158" s="16">
        <f t="shared" si="2"/>
        <v>42277</v>
      </c>
      <c r="C158" s="17">
        <v>0</v>
      </c>
      <c r="D158" s="17">
        <v>0.08</v>
      </c>
      <c r="E158" s="17">
        <v>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Z153"/>
  <sheetViews>
    <sheetView zoomScale="70" zoomScaleNormal="70" workbookViewId="0">
      <selection activeCell="F16" sqref="F16"/>
    </sheetView>
  </sheetViews>
  <sheetFormatPr defaultRowHeight="15" x14ac:dyDescent="0.25"/>
  <cols>
    <col min="1" max="1" width="21.5703125" customWidth="1"/>
    <col min="2" max="2" width="11.7109375" customWidth="1"/>
    <col min="3" max="4" width="12.7109375" bestFit="1" customWidth="1"/>
    <col min="5" max="5" width="13" style="1" customWidth="1"/>
    <col min="6" max="6" width="12.140625" customWidth="1"/>
    <col min="7" max="7" width="10.85546875" customWidth="1"/>
    <col min="8" max="8" width="9.7109375" bestFit="1" customWidth="1"/>
    <col min="9" max="9" width="12.140625" customWidth="1"/>
    <col min="10" max="11" width="8.28515625" customWidth="1"/>
    <col min="12" max="12" width="12.140625" style="54" customWidth="1"/>
    <col min="13" max="13" width="10.5703125" customWidth="1"/>
    <col min="18" max="18" width="9.5703125" bestFit="1" customWidth="1"/>
    <col min="19" max="20" width="9.28515625" bestFit="1" customWidth="1"/>
    <col min="39" max="39" width="12.42578125" bestFit="1" customWidth="1"/>
    <col min="46" max="46" width="10.5703125" customWidth="1"/>
    <col min="47" max="47" width="10.85546875" customWidth="1"/>
    <col min="48" max="48" width="10.140625" customWidth="1"/>
    <col min="49" max="49" width="12.28515625" customWidth="1"/>
    <col min="58" max="58" width="10" customWidth="1"/>
  </cols>
  <sheetData>
    <row r="1" spans="1:59" ht="18.75" x14ac:dyDescent="0.3">
      <c r="A1" s="190" t="s">
        <v>379</v>
      </c>
      <c r="B1" s="8"/>
      <c r="C1" s="1"/>
      <c r="E1"/>
      <c r="L1" s="4">
        <v>1</v>
      </c>
      <c r="M1" t="s">
        <v>213</v>
      </c>
      <c r="AI1" s="4">
        <v>8</v>
      </c>
      <c r="AJ1" t="s">
        <v>214</v>
      </c>
      <c r="AP1" s="4">
        <v>15</v>
      </c>
      <c r="AQ1" s="4"/>
      <c r="AR1" t="s">
        <v>272</v>
      </c>
    </row>
    <row r="2" spans="1:59" x14ac:dyDescent="0.25">
      <c r="A2" s="20" t="s">
        <v>341</v>
      </c>
      <c r="B2" s="88" t="s">
        <v>351</v>
      </c>
      <c r="C2" s="146" t="s">
        <v>2</v>
      </c>
      <c r="D2" s="63">
        <v>109141</v>
      </c>
      <c r="E2" t="s">
        <v>328</v>
      </c>
      <c r="F2" s="3">
        <v>0.25</v>
      </c>
      <c r="H2">
        <v>109141</v>
      </c>
      <c r="L2" s="4">
        <v>2</v>
      </c>
      <c r="M2" t="s">
        <v>220</v>
      </c>
      <c r="S2" s="4"/>
      <c r="T2" t="s">
        <v>359</v>
      </c>
      <c r="AI2" s="4">
        <v>9</v>
      </c>
      <c r="AJ2" t="s">
        <v>211</v>
      </c>
      <c r="AP2" s="4">
        <v>16</v>
      </c>
      <c r="AQ2" s="4"/>
      <c r="AR2" t="s">
        <v>286</v>
      </c>
    </row>
    <row r="3" spans="1:59" x14ac:dyDescent="0.25">
      <c r="A3" s="20" t="s">
        <v>342</v>
      </c>
      <c r="B3" s="88"/>
      <c r="C3" s="1" t="s">
        <v>268</v>
      </c>
      <c r="D3" s="63">
        <f>D2/43560</f>
        <v>2.5055325987144168</v>
      </c>
      <c r="E3" t="s">
        <v>329</v>
      </c>
      <c r="F3" s="3">
        <v>4.6399999999999997</v>
      </c>
      <c r="L3" s="4">
        <v>3</v>
      </c>
      <c r="M3" t="s">
        <v>217</v>
      </c>
      <c r="S3" s="4">
        <v>9</v>
      </c>
      <c r="T3" t="s">
        <v>332</v>
      </c>
      <c r="AG3" t="s">
        <v>349</v>
      </c>
      <c r="AI3" s="4">
        <v>10</v>
      </c>
      <c r="AJ3" t="s">
        <v>216</v>
      </c>
      <c r="AP3" s="4">
        <v>17</v>
      </c>
      <c r="AQ3" s="4"/>
      <c r="AR3" t="s">
        <v>270</v>
      </c>
    </row>
    <row r="4" spans="1:59" x14ac:dyDescent="0.25">
      <c r="A4" t="s">
        <v>173</v>
      </c>
      <c r="B4" s="3">
        <v>1.58</v>
      </c>
      <c r="C4" s="1"/>
      <c r="D4" s="6"/>
      <c r="L4" s="4">
        <v>4</v>
      </c>
      <c r="M4" t="s">
        <v>271</v>
      </c>
      <c r="S4" s="4">
        <v>10</v>
      </c>
      <c r="T4" t="s">
        <v>336</v>
      </c>
      <c r="AG4" t="s">
        <v>350</v>
      </c>
      <c r="AI4" s="4">
        <v>11</v>
      </c>
      <c r="AJ4" t="s">
        <v>215</v>
      </c>
      <c r="AP4" s="4">
        <v>18</v>
      </c>
      <c r="AQ4" s="4"/>
      <c r="AR4" t="s">
        <v>275</v>
      </c>
    </row>
    <row r="5" spans="1:59" x14ac:dyDescent="0.25">
      <c r="A5" t="s">
        <v>267</v>
      </c>
      <c r="B5" s="62">
        <v>0.37</v>
      </c>
      <c r="C5" s="1"/>
      <c r="E5" s="1" t="s">
        <v>355</v>
      </c>
      <c r="F5" s="62">
        <v>0.41</v>
      </c>
      <c r="L5" s="4">
        <v>5</v>
      </c>
      <c r="M5" t="s">
        <v>212</v>
      </c>
      <c r="S5" s="4">
        <v>7</v>
      </c>
      <c r="T5" t="s">
        <v>331</v>
      </c>
      <c r="AG5" s="3">
        <v>0.42</v>
      </c>
      <c r="AI5" s="4">
        <v>12</v>
      </c>
      <c r="AJ5" t="s">
        <v>322</v>
      </c>
      <c r="AP5" s="4">
        <v>19</v>
      </c>
      <c r="AQ5" s="4"/>
      <c r="AR5" t="s">
        <v>269</v>
      </c>
    </row>
    <row r="6" spans="1:59" x14ac:dyDescent="0.25">
      <c r="A6" t="s">
        <v>174</v>
      </c>
      <c r="B6" s="63">
        <v>0.25</v>
      </c>
      <c r="C6" s="1" t="s">
        <v>343</v>
      </c>
      <c r="D6" s="6"/>
      <c r="E6" t="s">
        <v>354</v>
      </c>
      <c r="F6" s="62">
        <v>0.17</v>
      </c>
      <c r="H6" s="54"/>
      <c r="L6" s="4">
        <v>6</v>
      </c>
      <c r="M6" t="s">
        <v>276</v>
      </c>
      <c r="S6" s="4">
        <v>8</v>
      </c>
      <c r="T6" t="s">
        <v>337</v>
      </c>
      <c r="AG6" s="3">
        <v>0.72</v>
      </c>
      <c r="AI6" s="4">
        <v>13</v>
      </c>
      <c r="AJ6" t="s">
        <v>283</v>
      </c>
      <c r="AP6" s="4">
        <v>20</v>
      </c>
      <c r="AQ6" s="4"/>
      <c r="AR6" t="s">
        <v>274</v>
      </c>
    </row>
    <row r="7" spans="1:59" x14ac:dyDescent="0.25">
      <c r="A7" t="s">
        <v>175</v>
      </c>
      <c r="B7" s="22">
        <f>B6*B4</f>
        <v>0.39500000000000002</v>
      </c>
      <c r="C7" s="1"/>
      <c r="D7" s="6"/>
      <c r="E7" s="1" t="s">
        <v>356</v>
      </c>
      <c r="F7" s="62">
        <v>0.13</v>
      </c>
      <c r="L7"/>
      <c r="AI7" s="4">
        <v>14</v>
      </c>
      <c r="AJ7" t="s">
        <v>284</v>
      </c>
    </row>
    <row r="8" spans="1:59" x14ac:dyDescent="0.25">
      <c r="A8" t="s">
        <v>176</v>
      </c>
      <c r="B8" s="3">
        <v>4.6399999999999997</v>
      </c>
      <c r="D8" s="6"/>
      <c r="E8" t="s">
        <v>357</v>
      </c>
      <c r="F8" s="62">
        <v>0.28999999999999998</v>
      </c>
      <c r="N8" s="186" t="s">
        <v>160</v>
      </c>
      <c r="O8" s="186"/>
      <c r="P8" s="186"/>
      <c r="Q8" s="186"/>
      <c r="R8" s="186"/>
      <c r="S8" s="186"/>
      <c r="T8" s="186"/>
      <c r="U8" s="187" t="s">
        <v>161</v>
      </c>
      <c r="V8" s="187"/>
      <c r="W8" s="187"/>
      <c r="X8" s="67" t="s">
        <v>366</v>
      </c>
      <c r="Y8" s="189" t="s">
        <v>362</v>
      </c>
      <c r="Z8" s="189"/>
      <c r="AA8" s="189"/>
      <c r="AB8" s="189"/>
      <c r="AC8" s="189"/>
      <c r="AD8" s="189"/>
      <c r="AE8" s="189"/>
      <c r="AF8" s="167"/>
      <c r="AG8" s="154" t="s">
        <v>344</v>
      </c>
      <c r="AH8" s="147"/>
      <c r="AI8" s="148"/>
      <c r="AJ8" s="188" t="s">
        <v>368</v>
      </c>
      <c r="AK8" s="188"/>
      <c r="AL8" s="188"/>
      <c r="AM8" s="183" t="s">
        <v>188</v>
      </c>
      <c r="AN8" s="184"/>
      <c r="AO8" s="184"/>
      <c r="AP8" s="184"/>
      <c r="AQ8" s="184"/>
      <c r="AR8" s="184"/>
      <c r="AS8" s="184"/>
      <c r="AT8" s="184"/>
      <c r="AU8" s="184"/>
      <c r="AV8" s="184"/>
      <c r="AW8" s="184"/>
      <c r="AX8" s="184"/>
      <c r="AY8" s="184"/>
      <c r="AZ8" s="184"/>
      <c r="BA8" s="184"/>
      <c r="BB8" s="184"/>
      <c r="BC8" s="184"/>
      <c r="BD8" s="184"/>
      <c r="BE8" s="184"/>
      <c r="BF8" s="184"/>
      <c r="BG8" s="185"/>
    </row>
    <row r="9" spans="1:59" s="2" customFormat="1" ht="90" x14ac:dyDescent="0.25">
      <c r="A9" s="2" t="s">
        <v>1</v>
      </c>
      <c r="B9" s="2" t="s">
        <v>358</v>
      </c>
      <c r="C9" s="2" t="s">
        <v>347</v>
      </c>
      <c r="D9"/>
      <c r="E9"/>
      <c r="F9"/>
      <c r="K9"/>
      <c r="L9" s="84" t="s">
        <v>218</v>
      </c>
      <c r="M9" s="59" t="s">
        <v>219</v>
      </c>
      <c r="N9" s="57" t="s">
        <v>1</v>
      </c>
      <c r="O9" s="31" t="s">
        <v>177</v>
      </c>
      <c r="P9" s="31" t="s">
        <v>0</v>
      </c>
      <c r="Q9" s="31" t="s">
        <v>378</v>
      </c>
      <c r="R9" s="31" t="s">
        <v>164</v>
      </c>
      <c r="S9" s="31" t="s">
        <v>162</v>
      </c>
      <c r="T9" s="31" t="s">
        <v>163</v>
      </c>
      <c r="U9" s="32" t="s">
        <v>167</v>
      </c>
      <c r="V9" s="33" t="s">
        <v>166</v>
      </c>
      <c r="W9" s="32" t="s">
        <v>170</v>
      </c>
      <c r="X9" s="68" t="s">
        <v>367</v>
      </c>
      <c r="Y9" s="162" t="s">
        <v>363</v>
      </c>
      <c r="Z9" s="166" t="s">
        <v>372</v>
      </c>
      <c r="AA9" s="166" t="s">
        <v>364</v>
      </c>
      <c r="AB9" s="166" t="s">
        <v>373</v>
      </c>
      <c r="AC9" s="166" t="s">
        <v>311</v>
      </c>
      <c r="AD9" s="166" t="s">
        <v>374</v>
      </c>
      <c r="AE9" s="166" t="s">
        <v>365</v>
      </c>
      <c r="AF9" s="166" t="s">
        <v>375</v>
      </c>
      <c r="AG9" s="150" t="s">
        <v>345</v>
      </c>
      <c r="AH9" s="152" t="s">
        <v>205</v>
      </c>
      <c r="AI9" s="65" t="s">
        <v>273</v>
      </c>
      <c r="AJ9" s="19" t="s">
        <v>204</v>
      </c>
      <c r="AK9" s="61" t="s">
        <v>209</v>
      </c>
      <c r="AL9" s="19" t="s">
        <v>172</v>
      </c>
      <c r="AM9" s="53" t="s">
        <v>327</v>
      </c>
      <c r="AN9" s="53" t="s">
        <v>330</v>
      </c>
      <c r="AO9" s="53"/>
      <c r="AP9" s="23" t="s">
        <v>202</v>
      </c>
      <c r="AQ9" s="23" t="s">
        <v>377</v>
      </c>
      <c r="AR9" s="23" t="s">
        <v>203</v>
      </c>
      <c r="AS9" s="23" t="s">
        <v>210</v>
      </c>
      <c r="AT9" s="53" t="s">
        <v>206</v>
      </c>
      <c r="AU9" s="53" t="s">
        <v>207</v>
      </c>
      <c r="AV9" s="53" t="s">
        <v>208</v>
      </c>
      <c r="AW9" s="26" t="s">
        <v>178</v>
      </c>
      <c r="AX9" s="26" t="s">
        <v>179</v>
      </c>
      <c r="AY9" s="27" t="s">
        <v>180</v>
      </c>
      <c r="AZ9" s="53" t="s">
        <v>181</v>
      </c>
      <c r="BA9" s="53" t="s">
        <v>376</v>
      </c>
      <c r="BB9" s="47" t="s">
        <v>182</v>
      </c>
      <c r="BC9" s="53" t="s">
        <v>183</v>
      </c>
      <c r="BD9" s="50" t="s">
        <v>184</v>
      </c>
      <c r="BE9" s="28" t="s">
        <v>185</v>
      </c>
      <c r="BF9" s="23" t="s">
        <v>186</v>
      </c>
      <c r="BG9" s="23" t="s">
        <v>187</v>
      </c>
    </row>
    <row r="10" spans="1:59" s="2" customFormat="1" x14ac:dyDescent="0.25">
      <c r="C10"/>
      <c r="D10"/>
      <c r="E10"/>
      <c r="F10"/>
      <c r="K10"/>
      <c r="L10" s="85"/>
      <c r="M10" s="56"/>
      <c r="N10" s="57"/>
      <c r="O10" s="31"/>
      <c r="P10" s="31"/>
      <c r="Q10" s="31"/>
      <c r="R10" s="31"/>
      <c r="S10" s="31"/>
      <c r="T10" s="31"/>
      <c r="U10" s="32"/>
      <c r="V10" s="33"/>
      <c r="W10" s="32"/>
      <c r="X10" s="163"/>
      <c r="Y10" s="164"/>
      <c r="Z10" s="164"/>
      <c r="AA10" s="164"/>
      <c r="AB10" s="164"/>
      <c r="AC10" s="164"/>
      <c r="AD10" s="164"/>
      <c r="AE10" s="164"/>
      <c r="AF10" s="164"/>
      <c r="AG10" s="150">
        <v>0.42</v>
      </c>
      <c r="AH10" s="152"/>
      <c r="AI10" s="65"/>
      <c r="AJ10" s="19"/>
      <c r="AK10" s="19"/>
      <c r="AL10" s="19"/>
      <c r="AM10" s="157">
        <f t="shared" ref="AM10:AM44" si="0">(AG10-$AG$5)/($AG$6-$AG$5)</f>
        <v>0</v>
      </c>
      <c r="AN10" s="24">
        <f t="shared" ref="AN10:AN74" si="1">IF(AM10*($F$3-$F$2)+$F$2&lt;$F$3,AM10*($F$3-$F$2)+$F$2,$F$3)</f>
        <v>0.25</v>
      </c>
      <c r="AO10" s="51"/>
      <c r="AP10" s="51">
        <f>AN10*$B$4</f>
        <v>0.39500000000000002</v>
      </c>
      <c r="AQ10" s="51"/>
      <c r="AR10" s="24">
        <f>AP10*$B$5</f>
        <v>0.14615</v>
      </c>
      <c r="AS10" s="37">
        <f>AP10-AR10</f>
        <v>0.24885000000000002</v>
      </c>
      <c r="AT10" s="26"/>
      <c r="AU10" s="74">
        <f>0*AP10</f>
        <v>0</v>
      </c>
      <c r="AV10" s="24">
        <f t="shared" ref="AV10" si="2">AP10-AU10</f>
        <v>0.39500000000000002</v>
      </c>
      <c r="AW10" s="26"/>
      <c r="AX10" s="26"/>
      <c r="AY10" s="27"/>
      <c r="AZ10" s="53"/>
      <c r="BA10" s="176"/>
      <c r="BB10" s="47"/>
      <c r="BC10" s="53"/>
      <c r="BD10" s="50"/>
      <c r="BE10" s="28"/>
      <c r="BF10" s="23"/>
      <c r="BG10" s="23"/>
    </row>
    <row r="11" spans="1:59" x14ac:dyDescent="0.25">
      <c r="A11" s="15">
        <v>42156</v>
      </c>
      <c r="B11">
        <v>0</v>
      </c>
      <c r="C11" s="54">
        <f t="shared" ref="C11:C44" si="3">B11/7.48</f>
        <v>0</v>
      </c>
      <c r="E11"/>
      <c r="L11" s="78">
        <f t="shared" ref="L11:L44" si="4">C11</f>
        <v>0</v>
      </c>
      <c r="M11" s="64"/>
      <c r="N11" s="58">
        <v>42156</v>
      </c>
      <c r="O11" s="34">
        <f t="shared" ref="O11:O45" si="5">L11</f>
        <v>0</v>
      </c>
      <c r="P11" s="80">
        <f t="shared" ref="P11:P45" si="6">(O11/$D$2)*12</f>
        <v>0</v>
      </c>
      <c r="Q11" s="80">
        <f>P11*25.4</f>
        <v>0</v>
      </c>
      <c r="R11" s="79">
        <f>O11+R10</f>
        <v>0</v>
      </c>
      <c r="S11" s="81">
        <f t="shared" ref="S11:S45" si="7">R11/43560</f>
        <v>0</v>
      </c>
      <c r="T11" s="80">
        <f t="shared" ref="T11:T45" si="8">(S11*12)/$D$3</f>
        <v>0</v>
      </c>
      <c r="U11" s="83">
        <f>LOOKUP(N11,'weather data'!$B$7:$B$158,'weather data'!$C$7:$C$158)</f>
        <v>0</v>
      </c>
      <c r="V11" s="83">
        <f t="shared" ref="V11:V45" si="9">IF(U11&lt;0.05,0,0.8*U11)</f>
        <v>0</v>
      </c>
      <c r="W11" s="83">
        <f>V11+W10</f>
        <v>0</v>
      </c>
      <c r="X11" s="75">
        <f>LOOKUP(N11,'weather data'!$B$7:$B$158,'weather data'!$D$7:$D$158)</f>
        <v>0.28999999999999998</v>
      </c>
      <c r="Y11" s="165">
        <v>0.7</v>
      </c>
      <c r="Z11" s="165">
        <f>Y11*0.65</f>
        <v>0.45499999999999996</v>
      </c>
      <c r="AA11" s="165">
        <v>0.7</v>
      </c>
      <c r="AB11" s="165">
        <f>AA11*0.65</f>
        <v>0.45499999999999996</v>
      </c>
      <c r="AC11" s="165">
        <v>0.4</v>
      </c>
      <c r="AD11" s="165">
        <f>AC11*0.7</f>
        <v>0.27999999999999997</v>
      </c>
      <c r="AE11" s="165">
        <v>0.5</v>
      </c>
      <c r="AF11" s="165">
        <f>AE11*0.85</f>
        <v>0.42499999999999999</v>
      </c>
      <c r="AG11" s="155">
        <f>Z11*$F$5+AB11*$F$6+AD11*$F$7+AF11*$F$8</f>
        <v>0.42354999999999993</v>
      </c>
      <c r="AH11" s="87">
        <f t="shared" ref="AH11:AH45" si="10">IF(AT11&lt;=AR11,1,(AP11-AT11)/(AP11-AR11))</f>
        <v>1</v>
      </c>
      <c r="AI11" s="156">
        <f t="shared" ref="AI11:AI44" si="11">AG11*AH11</f>
        <v>0.42354999999999993</v>
      </c>
      <c r="AJ11" s="82">
        <f t="shared" ref="AJ11:AJ42" si="12">X11*AG11</f>
        <v>0.12282949999999997</v>
      </c>
      <c r="AK11" s="82">
        <f t="shared" ref="AK11:AK44" si="13">AH11*AJ11</f>
        <v>0.12282949999999997</v>
      </c>
      <c r="AL11" s="82">
        <f>AK11+AL10</f>
        <v>0.12282949999999997</v>
      </c>
      <c r="AM11" s="157">
        <f t="shared" si="0"/>
        <v>1.183333333333314E-2</v>
      </c>
      <c r="AN11" s="24">
        <f t="shared" si="1"/>
        <v>0.30194833333333249</v>
      </c>
      <c r="AO11" s="51"/>
      <c r="AP11" s="51">
        <f t="shared" ref="AP11:AP45" si="14">AN11*$B$4</f>
        <v>0.47707836666666537</v>
      </c>
      <c r="AQ11" s="51">
        <f>AP11*25.4</f>
        <v>12.117790513333299</v>
      </c>
      <c r="AR11" s="24">
        <f t="shared" ref="AR11:AR45" si="15">AP11*$B$5</f>
        <v>0.17651899566666618</v>
      </c>
      <c r="AS11" s="37">
        <f t="shared" ref="AS11:AS45" si="16">AP11-AR11</f>
        <v>0.30055937099999919</v>
      </c>
      <c r="AT11" s="24">
        <v>0</v>
      </c>
      <c r="AU11" s="24">
        <f t="shared" ref="AU11:AU42" si="17">IF(AT11+AK11-P11-V11&lt;0,0,AT11+AK11-P11-V11)</f>
        <v>0.12282949999999997</v>
      </c>
      <c r="AV11" s="24">
        <f t="shared" ref="AV11:AV45" si="18">AP11-AU11</f>
        <v>0.35424886666666539</v>
      </c>
      <c r="AW11" s="24">
        <f t="shared" ref="AW11:AW45" si="19">IF(AJ11=0,"",AK11/AJ11)</f>
        <v>1</v>
      </c>
      <c r="AX11" s="24">
        <f t="shared" ref="AX11:AX42" si="20">IF(P11+V11-AK11&gt;AT11,P11+V11-AK11-AT11,0)</f>
        <v>0</v>
      </c>
      <c r="AY11" s="25">
        <f>AX11+AY10</f>
        <v>0</v>
      </c>
      <c r="AZ11" s="24">
        <f t="shared" ref="AZ11:AZ42" si="21">IF(AND(P11&lt;&gt;0,AX11&lt;&gt;0,V11&lt;&gt;0),P11*AX11/(P11+V11),IF(AND(P11&lt;&gt;0,AX11&lt;&gt;0),AX11,0))</f>
        <v>0</v>
      </c>
      <c r="BA11" s="48">
        <f>AZ11*25.4</f>
        <v>0</v>
      </c>
      <c r="BB11" s="48">
        <f>AZ11+BB10</f>
        <v>0</v>
      </c>
      <c r="BC11" s="24">
        <f t="shared" ref="BC11:BC42" si="22">IF(AND(P11&lt;&gt;0,AX11&lt;&gt;0,V11&lt;&gt;0),V11*AX11/(P11+V11),IF(AND(V11&lt;&gt;0,AX11&lt;&gt;0),AX11,0))</f>
        <v>0</v>
      </c>
      <c r="BD11" s="51">
        <f>BC11+BD10</f>
        <v>0</v>
      </c>
      <c r="BE11" s="86">
        <f t="shared" ref="BE11:BE42" si="23">P11+V11+BE10</f>
        <v>0</v>
      </c>
      <c r="BF11" s="30">
        <f t="shared" ref="BF11:BF42" si="24">P11+V11-AX11</f>
        <v>0</v>
      </c>
      <c r="BG11" s="30">
        <f>BF11+BG10</f>
        <v>0</v>
      </c>
    </row>
    <row r="12" spans="1:59" x14ac:dyDescent="0.25">
      <c r="A12" s="15">
        <v>42157</v>
      </c>
      <c r="B12">
        <v>0</v>
      </c>
      <c r="C12" s="54">
        <f t="shared" si="3"/>
        <v>0</v>
      </c>
      <c r="E12"/>
      <c r="L12" s="78">
        <f t="shared" si="4"/>
        <v>0</v>
      </c>
      <c r="M12" s="64"/>
      <c r="N12" s="58">
        <v>42157</v>
      </c>
      <c r="O12" s="34">
        <f t="shared" si="5"/>
        <v>0</v>
      </c>
      <c r="P12" s="80">
        <f t="shared" si="6"/>
        <v>0</v>
      </c>
      <c r="Q12" s="80">
        <f t="shared" ref="Q12:Q75" si="25">P12*25.4</f>
        <v>0</v>
      </c>
      <c r="R12" s="79">
        <f t="shared" ref="R12:R45" si="26">O12+R11</f>
        <v>0</v>
      </c>
      <c r="S12" s="81">
        <f t="shared" si="7"/>
        <v>0</v>
      </c>
      <c r="T12" s="80">
        <f t="shared" si="8"/>
        <v>0</v>
      </c>
      <c r="U12" s="83">
        <f>LOOKUP(N12,'weather data'!$B$7:$B$158,'weather data'!$C$7:$C$158)</f>
        <v>0</v>
      </c>
      <c r="V12" s="83">
        <f t="shared" si="9"/>
        <v>0</v>
      </c>
      <c r="W12" s="83">
        <f t="shared" ref="W12:W45" si="27">V12+W11</f>
        <v>0</v>
      </c>
      <c r="X12" s="75">
        <f>LOOKUP(N12,'weather data'!$B$7:$B$158,'weather data'!$D$7:$D$158)</f>
        <v>0.23</v>
      </c>
      <c r="Y12" s="165">
        <v>0.7</v>
      </c>
      <c r="Z12" s="165">
        <f t="shared" ref="Z12:Z75" si="28">Y12*0.65</f>
        <v>0.45499999999999996</v>
      </c>
      <c r="AA12" s="165">
        <v>0.7</v>
      </c>
      <c r="AB12" s="165">
        <f t="shared" ref="AB12:AB75" si="29">AA12*0.65</f>
        <v>0.45499999999999996</v>
      </c>
      <c r="AC12" s="165">
        <v>0.4</v>
      </c>
      <c r="AD12" s="165">
        <f t="shared" ref="AD12:AD75" si="30">AC12*0.7</f>
        <v>0.27999999999999997</v>
      </c>
      <c r="AE12" s="165">
        <v>0.5</v>
      </c>
      <c r="AF12" s="165">
        <f t="shared" ref="AF12:AF75" si="31">AE12*0.85</f>
        <v>0.42499999999999999</v>
      </c>
      <c r="AG12" s="155">
        <f t="shared" ref="AG12:AG75" si="32">Z12*$F$5+AB12*$F$6+AD12*$F$7+AF12*$F$8</f>
        <v>0.42354999999999993</v>
      </c>
      <c r="AH12" s="87">
        <f t="shared" si="10"/>
        <v>1</v>
      </c>
      <c r="AI12" s="156">
        <f t="shared" si="11"/>
        <v>0.42354999999999993</v>
      </c>
      <c r="AJ12" s="82">
        <f t="shared" si="12"/>
        <v>9.7416499999999989E-2</v>
      </c>
      <c r="AK12" s="82">
        <f t="shared" si="13"/>
        <v>9.7416499999999989E-2</v>
      </c>
      <c r="AL12" s="82">
        <f t="shared" ref="AL12:AL45" si="33">AK12+AL11</f>
        <v>0.22024599999999994</v>
      </c>
      <c r="AM12" s="157">
        <f t="shared" si="0"/>
        <v>1.183333333333314E-2</v>
      </c>
      <c r="AN12" s="24">
        <f t="shared" si="1"/>
        <v>0.30194833333333249</v>
      </c>
      <c r="AO12" s="51"/>
      <c r="AP12" s="51">
        <f t="shared" si="14"/>
        <v>0.47707836666666537</v>
      </c>
      <c r="AQ12" s="51">
        <f t="shared" ref="AQ12:AQ75" si="34">AP12*25.4</f>
        <v>12.117790513333299</v>
      </c>
      <c r="AR12" s="24">
        <f t="shared" si="15"/>
        <v>0.17651899566666618</v>
      </c>
      <c r="AS12" s="37">
        <f t="shared" si="16"/>
        <v>0.30055937099999919</v>
      </c>
      <c r="AT12" s="24">
        <f t="shared" ref="AT12:AT45" si="35">AU11</f>
        <v>0.12282949999999997</v>
      </c>
      <c r="AU12" s="24">
        <f t="shared" si="17"/>
        <v>0.22024599999999994</v>
      </c>
      <c r="AV12" s="24">
        <f t="shared" si="18"/>
        <v>0.25683236666666542</v>
      </c>
      <c r="AW12" s="24">
        <f t="shared" si="19"/>
        <v>1</v>
      </c>
      <c r="AX12" s="24">
        <f t="shared" si="20"/>
        <v>0</v>
      </c>
      <c r="AY12" s="25">
        <f t="shared" ref="AY12:AY45" si="36">AX12+AY11</f>
        <v>0</v>
      </c>
      <c r="AZ12" s="24">
        <f t="shared" si="21"/>
        <v>0</v>
      </c>
      <c r="BA12" s="48">
        <f t="shared" ref="BA12:BA75" si="37">AZ12*25.4</f>
        <v>0</v>
      </c>
      <c r="BB12" s="48">
        <f t="shared" ref="BB12:BB45" si="38">AZ12+BB11</f>
        <v>0</v>
      </c>
      <c r="BC12" s="24">
        <f t="shared" si="22"/>
        <v>0</v>
      </c>
      <c r="BD12" s="51">
        <f t="shared" ref="BD12:BD45" si="39">BC12+BD11</f>
        <v>0</v>
      </c>
      <c r="BE12" s="86">
        <f t="shared" si="23"/>
        <v>0</v>
      </c>
      <c r="BF12" s="30">
        <f t="shared" si="24"/>
        <v>0</v>
      </c>
      <c r="BG12" s="30">
        <f t="shared" ref="BG12:BG45" si="40">BF12+BG11</f>
        <v>0</v>
      </c>
    </row>
    <row r="13" spans="1:59" x14ac:dyDescent="0.25">
      <c r="A13" s="15">
        <v>42158</v>
      </c>
      <c r="B13">
        <v>1780</v>
      </c>
      <c r="C13" s="54">
        <f t="shared" si="3"/>
        <v>237.96791443850265</v>
      </c>
      <c r="E13"/>
      <c r="L13" s="78">
        <f t="shared" si="4"/>
        <v>237.96791443850265</v>
      </c>
      <c r="M13" s="64"/>
      <c r="N13" s="58">
        <v>42158</v>
      </c>
      <c r="O13" s="34">
        <f t="shared" si="5"/>
        <v>237.96791443850265</v>
      </c>
      <c r="P13" s="80">
        <f t="shared" si="6"/>
        <v>2.6164456741847992E-2</v>
      </c>
      <c r="Q13" s="80">
        <f t="shared" si="25"/>
        <v>0.66457720124293895</v>
      </c>
      <c r="R13" s="79">
        <f t="shared" si="26"/>
        <v>237.96791443850265</v>
      </c>
      <c r="S13" s="81">
        <f t="shared" si="7"/>
        <v>5.4629916078627787E-3</v>
      </c>
      <c r="T13" s="80">
        <f t="shared" si="8"/>
        <v>2.6164456741847995E-2</v>
      </c>
      <c r="U13" s="83">
        <f>LOOKUP(N13,'weather data'!$B$7:$B$158,'weather data'!$C$7:$C$158)</f>
        <v>0.22</v>
      </c>
      <c r="V13" s="83">
        <f t="shared" si="9"/>
        <v>0.17600000000000002</v>
      </c>
      <c r="W13" s="83">
        <f t="shared" si="27"/>
        <v>0.17600000000000002</v>
      </c>
      <c r="X13" s="75">
        <f>LOOKUP(N13,'weather data'!$B$7:$B$158,'weather data'!$D$7:$D$158)</f>
        <v>0.25</v>
      </c>
      <c r="Y13" s="165">
        <v>0.7</v>
      </c>
      <c r="Z13" s="165">
        <f t="shared" si="28"/>
        <v>0.45499999999999996</v>
      </c>
      <c r="AA13" s="165">
        <v>0.7</v>
      </c>
      <c r="AB13" s="165">
        <f t="shared" si="29"/>
        <v>0.45499999999999996</v>
      </c>
      <c r="AC13" s="165">
        <v>0.4</v>
      </c>
      <c r="AD13" s="165">
        <f t="shared" si="30"/>
        <v>0.27999999999999997</v>
      </c>
      <c r="AE13" s="165">
        <v>0.5</v>
      </c>
      <c r="AF13" s="165">
        <f t="shared" si="31"/>
        <v>0.42499999999999999</v>
      </c>
      <c r="AG13" s="155">
        <f t="shared" si="32"/>
        <v>0.42354999999999993</v>
      </c>
      <c r="AH13" s="87">
        <f t="shared" si="10"/>
        <v>0.85451458662610158</v>
      </c>
      <c r="AI13" s="156">
        <f t="shared" si="11"/>
        <v>0.36192965316548525</v>
      </c>
      <c r="AJ13" s="82">
        <f t="shared" si="12"/>
        <v>0.10588749999999998</v>
      </c>
      <c r="AK13" s="82">
        <f t="shared" si="13"/>
        <v>9.0482413291371314E-2</v>
      </c>
      <c r="AL13" s="82">
        <f t="shared" si="33"/>
        <v>0.31072841329137124</v>
      </c>
      <c r="AM13" s="157">
        <f t="shared" si="0"/>
        <v>1.183333333333314E-2</v>
      </c>
      <c r="AN13" s="24">
        <f t="shared" si="1"/>
        <v>0.30194833333333249</v>
      </c>
      <c r="AO13" s="51"/>
      <c r="AP13" s="51">
        <f t="shared" si="14"/>
        <v>0.47707836666666537</v>
      </c>
      <c r="AQ13" s="51">
        <f t="shared" si="34"/>
        <v>12.117790513333299</v>
      </c>
      <c r="AR13" s="24">
        <f t="shared" si="15"/>
        <v>0.17651899566666618</v>
      </c>
      <c r="AS13" s="37">
        <f t="shared" si="16"/>
        <v>0.30055937099999919</v>
      </c>
      <c r="AT13" s="24">
        <f t="shared" si="35"/>
        <v>0.22024599999999994</v>
      </c>
      <c r="AU13" s="24">
        <f t="shared" si="17"/>
        <v>0.10856395654952325</v>
      </c>
      <c r="AV13" s="24">
        <f t="shared" si="18"/>
        <v>0.36851441011714214</v>
      </c>
      <c r="AW13" s="24">
        <f t="shared" si="19"/>
        <v>0.85451458662610158</v>
      </c>
      <c r="AX13" s="24">
        <f t="shared" si="20"/>
        <v>0</v>
      </c>
      <c r="AY13" s="25">
        <f t="shared" si="36"/>
        <v>0</v>
      </c>
      <c r="AZ13" s="24">
        <f t="shared" si="21"/>
        <v>0</v>
      </c>
      <c r="BA13" s="48">
        <f t="shared" si="37"/>
        <v>0</v>
      </c>
      <c r="BB13" s="48">
        <f t="shared" si="38"/>
        <v>0</v>
      </c>
      <c r="BC13" s="24">
        <f t="shared" si="22"/>
        <v>0</v>
      </c>
      <c r="BD13" s="51">
        <f t="shared" si="39"/>
        <v>0</v>
      </c>
      <c r="BE13" s="86">
        <f t="shared" si="23"/>
        <v>0.20216445674184802</v>
      </c>
      <c r="BF13" s="30">
        <f t="shared" si="24"/>
        <v>0.20216445674184802</v>
      </c>
      <c r="BG13" s="30">
        <f t="shared" si="40"/>
        <v>0.20216445674184802</v>
      </c>
    </row>
    <row r="14" spans="1:59" x14ac:dyDescent="0.25">
      <c r="A14" s="15">
        <v>42159</v>
      </c>
      <c r="B14">
        <v>1530</v>
      </c>
      <c r="C14" s="54">
        <f t="shared" si="3"/>
        <v>204.54545454545453</v>
      </c>
      <c r="E14"/>
      <c r="L14" s="78">
        <f t="shared" si="4"/>
        <v>204.54545454545453</v>
      </c>
      <c r="M14" s="64"/>
      <c r="N14" s="58">
        <v>42159</v>
      </c>
      <c r="O14" s="34">
        <f t="shared" si="5"/>
        <v>204.54545454545453</v>
      </c>
      <c r="P14" s="80">
        <f t="shared" si="6"/>
        <v>2.2489673491588445E-2</v>
      </c>
      <c r="Q14" s="80">
        <f t="shared" si="25"/>
        <v>0.57123770668634644</v>
      </c>
      <c r="R14" s="79">
        <f t="shared" si="26"/>
        <v>442.51336898395721</v>
      </c>
      <c r="S14" s="81">
        <f t="shared" si="7"/>
        <v>1.015870911349764E-2</v>
      </c>
      <c r="T14" s="80">
        <f t="shared" si="8"/>
        <v>4.8654130233436441E-2</v>
      </c>
      <c r="U14" s="83">
        <f>LOOKUP(N14,'weather data'!$B$7:$B$158,'weather data'!$C$7:$C$158)</f>
        <v>0</v>
      </c>
      <c r="V14" s="83">
        <f t="shared" si="9"/>
        <v>0</v>
      </c>
      <c r="W14" s="83">
        <f t="shared" si="27"/>
        <v>0.17600000000000002</v>
      </c>
      <c r="X14" s="75">
        <f>LOOKUP(N14,'weather data'!$B$7:$B$158,'weather data'!$D$7:$D$158)</f>
        <v>0.19</v>
      </c>
      <c r="Y14" s="165">
        <v>0.7</v>
      </c>
      <c r="Z14" s="165">
        <f t="shared" si="28"/>
        <v>0.45499999999999996</v>
      </c>
      <c r="AA14" s="165">
        <v>0.7</v>
      </c>
      <c r="AB14" s="165">
        <f t="shared" si="29"/>
        <v>0.45499999999999996</v>
      </c>
      <c r="AC14" s="165">
        <v>0.4</v>
      </c>
      <c r="AD14" s="165">
        <f t="shared" si="30"/>
        <v>0.27999999999999997</v>
      </c>
      <c r="AE14" s="165">
        <v>0.5</v>
      </c>
      <c r="AF14" s="165">
        <f t="shared" si="31"/>
        <v>0.42499999999999999</v>
      </c>
      <c r="AG14" s="155">
        <f t="shared" si="32"/>
        <v>0.42354999999999993</v>
      </c>
      <c r="AH14" s="87">
        <f t="shared" si="10"/>
        <v>1</v>
      </c>
      <c r="AI14" s="156">
        <f t="shared" si="11"/>
        <v>0.42354999999999993</v>
      </c>
      <c r="AJ14" s="82">
        <f t="shared" si="12"/>
        <v>8.047449999999999E-2</v>
      </c>
      <c r="AK14" s="82">
        <f t="shared" si="13"/>
        <v>8.047449999999999E-2</v>
      </c>
      <c r="AL14" s="82">
        <f t="shared" si="33"/>
        <v>0.39120291329137125</v>
      </c>
      <c r="AM14" s="157">
        <f t="shared" si="0"/>
        <v>1.183333333333314E-2</v>
      </c>
      <c r="AN14" s="24">
        <f t="shared" si="1"/>
        <v>0.30194833333333249</v>
      </c>
      <c r="AO14" s="51"/>
      <c r="AP14" s="51">
        <f t="shared" si="14"/>
        <v>0.47707836666666537</v>
      </c>
      <c r="AQ14" s="51">
        <f t="shared" si="34"/>
        <v>12.117790513333299</v>
      </c>
      <c r="AR14" s="24">
        <f t="shared" si="15"/>
        <v>0.17651899566666618</v>
      </c>
      <c r="AS14" s="37">
        <f t="shared" si="16"/>
        <v>0.30055937099999919</v>
      </c>
      <c r="AT14" s="24">
        <f t="shared" si="35"/>
        <v>0.10856395654952325</v>
      </c>
      <c r="AU14" s="24">
        <f t="shared" si="17"/>
        <v>0.16654878305793477</v>
      </c>
      <c r="AV14" s="24">
        <f t="shared" si="18"/>
        <v>0.31052958360873062</v>
      </c>
      <c r="AW14" s="24">
        <f t="shared" si="19"/>
        <v>1</v>
      </c>
      <c r="AX14" s="24">
        <f t="shared" si="20"/>
        <v>0</v>
      </c>
      <c r="AY14" s="25">
        <f t="shared" si="36"/>
        <v>0</v>
      </c>
      <c r="AZ14" s="24">
        <f t="shared" si="21"/>
        <v>0</v>
      </c>
      <c r="BA14" s="48">
        <f t="shared" si="37"/>
        <v>0</v>
      </c>
      <c r="BB14" s="48">
        <f t="shared" si="38"/>
        <v>0</v>
      </c>
      <c r="BC14" s="24">
        <f t="shared" si="22"/>
        <v>0</v>
      </c>
      <c r="BD14" s="51">
        <f t="shared" si="39"/>
        <v>0</v>
      </c>
      <c r="BE14" s="86">
        <f t="shared" si="23"/>
        <v>0.22465413023343647</v>
      </c>
      <c r="BF14" s="30">
        <f t="shared" si="24"/>
        <v>2.2489673491588445E-2</v>
      </c>
      <c r="BG14" s="30">
        <f t="shared" si="40"/>
        <v>0.22465413023343647</v>
      </c>
    </row>
    <row r="15" spans="1:59" x14ac:dyDescent="0.25">
      <c r="A15" s="15">
        <v>42160</v>
      </c>
      <c r="B15">
        <v>0</v>
      </c>
      <c r="C15" s="54">
        <f t="shared" si="3"/>
        <v>0</v>
      </c>
      <c r="E15"/>
      <c r="L15" s="78">
        <f t="shared" si="4"/>
        <v>0</v>
      </c>
      <c r="M15" s="64"/>
      <c r="N15" s="58">
        <v>42160</v>
      </c>
      <c r="O15" s="34">
        <f t="shared" si="5"/>
        <v>0</v>
      </c>
      <c r="P15" s="80">
        <f t="shared" si="6"/>
        <v>0</v>
      </c>
      <c r="Q15" s="80">
        <f t="shared" si="25"/>
        <v>0</v>
      </c>
      <c r="R15" s="79">
        <f t="shared" si="26"/>
        <v>442.51336898395721</v>
      </c>
      <c r="S15" s="81">
        <f t="shared" si="7"/>
        <v>1.015870911349764E-2</v>
      </c>
      <c r="T15" s="80">
        <f t="shared" si="8"/>
        <v>4.8654130233436441E-2</v>
      </c>
      <c r="U15" s="83">
        <f>LOOKUP(N15,'weather data'!$B$7:$B$158,'weather data'!$C$7:$C$158)</f>
        <v>0</v>
      </c>
      <c r="V15" s="83">
        <f t="shared" si="9"/>
        <v>0</v>
      </c>
      <c r="W15" s="83">
        <f t="shared" si="27"/>
        <v>0.17600000000000002</v>
      </c>
      <c r="X15" s="75">
        <f>LOOKUP(N15,'weather data'!$B$7:$B$158,'weather data'!$D$7:$D$158)</f>
        <v>0.17</v>
      </c>
      <c r="Y15" s="165">
        <v>0.7</v>
      </c>
      <c r="Z15" s="165">
        <f t="shared" si="28"/>
        <v>0.45499999999999996</v>
      </c>
      <c r="AA15" s="165">
        <v>0.7</v>
      </c>
      <c r="AB15" s="165">
        <f t="shared" si="29"/>
        <v>0.45499999999999996</v>
      </c>
      <c r="AC15" s="165">
        <v>0.4</v>
      </c>
      <c r="AD15" s="165">
        <f t="shared" si="30"/>
        <v>0.27999999999999997</v>
      </c>
      <c r="AE15" s="165">
        <v>0.5</v>
      </c>
      <c r="AF15" s="165">
        <f t="shared" si="31"/>
        <v>0.42499999999999999</v>
      </c>
      <c r="AG15" s="155">
        <f t="shared" si="32"/>
        <v>0.42354999999999993</v>
      </c>
      <c r="AH15" s="87">
        <f t="shared" si="10"/>
        <v>1</v>
      </c>
      <c r="AI15" s="156">
        <f t="shared" si="11"/>
        <v>0.42354999999999993</v>
      </c>
      <c r="AJ15" s="82">
        <f t="shared" si="12"/>
        <v>7.2003499999999998E-2</v>
      </c>
      <c r="AK15" s="82">
        <f t="shared" si="13"/>
        <v>7.2003499999999998E-2</v>
      </c>
      <c r="AL15" s="82">
        <f t="shared" si="33"/>
        <v>0.46320641329137124</v>
      </c>
      <c r="AM15" s="157">
        <f t="shared" si="0"/>
        <v>1.183333333333314E-2</v>
      </c>
      <c r="AN15" s="24">
        <f t="shared" si="1"/>
        <v>0.30194833333333249</v>
      </c>
      <c r="AO15" s="51"/>
      <c r="AP15" s="51">
        <f t="shared" si="14"/>
        <v>0.47707836666666537</v>
      </c>
      <c r="AQ15" s="51">
        <f t="shared" si="34"/>
        <v>12.117790513333299</v>
      </c>
      <c r="AR15" s="24">
        <f t="shared" si="15"/>
        <v>0.17651899566666618</v>
      </c>
      <c r="AS15" s="37">
        <f t="shared" si="16"/>
        <v>0.30055937099999919</v>
      </c>
      <c r="AT15" s="24">
        <f t="shared" si="35"/>
        <v>0.16654878305793477</v>
      </c>
      <c r="AU15" s="24">
        <f t="shared" si="17"/>
        <v>0.23855228305793477</v>
      </c>
      <c r="AV15" s="24">
        <f t="shared" si="18"/>
        <v>0.23852608360873059</v>
      </c>
      <c r="AW15" s="24">
        <f t="shared" si="19"/>
        <v>1</v>
      </c>
      <c r="AX15" s="24">
        <f t="shared" si="20"/>
        <v>0</v>
      </c>
      <c r="AY15" s="25">
        <f t="shared" si="36"/>
        <v>0</v>
      </c>
      <c r="AZ15" s="24">
        <f t="shared" si="21"/>
        <v>0</v>
      </c>
      <c r="BA15" s="48">
        <f t="shared" si="37"/>
        <v>0</v>
      </c>
      <c r="BB15" s="48">
        <f t="shared" si="38"/>
        <v>0</v>
      </c>
      <c r="BC15" s="24">
        <f t="shared" si="22"/>
        <v>0</v>
      </c>
      <c r="BD15" s="51">
        <f t="shared" si="39"/>
        <v>0</v>
      </c>
      <c r="BE15" s="86">
        <f t="shared" si="23"/>
        <v>0.22465413023343647</v>
      </c>
      <c r="BF15" s="30">
        <f t="shared" si="24"/>
        <v>0</v>
      </c>
      <c r="BG15" s="30">
        <f t="shared" si="40"/>
        <v>0.22465413023343647</v>
      </c>
    </row>
    <row r="16" spans="1:59" x14ac:dyDescent="0.25">
      <c r="A16" s="15">
        <v>42161</v>
      </c>
      <c r="B16">
        <v>20</v>
      </c>
      <c r="C16" s="54">
        <f t="shared" si="3"/>
        <v>2.6737967914438503</v>
      </c>
      <c r="E16"/>
      <c r="L16" s="78">
        <f t="shared" si="4"/>
        <v>2.6737967914438503</v>
      </c>
      <c r="M16" s="64"/>
      <c r="N16" s="58">
        <v>42161</v>
      </c>
      <c r="O16" s="34">
        <f t="shared" si="5"/>
        <v>2.6737967914438503</v>
      </c>
      <c r="P16" s="80">
        <f t="shared" si="6"/>
        <v>2.9398266002076399E-4</v>
      </c>
      <c r="Q16" s="80">
        <f t="shared" si="25"/>
        <v>7.467159564527405E-3</v>
      </c>
      <c r="R16" s="79">
        <f t="shared" si="26"/>
        <v>445.18716577540107</v>
      </c>
      <c r="S16" s="81">
        <f t="shared" si="7"/>
        <v>1.0220091041675873E-2</v>
      </c>
      <c r="T16" s="80">
        <f t="shared" si="8"/>
        <v>4.8948112893457206E-2</v>
      </c>
      <c r="U16" s="83">
        <f>LOOKUP(N16,'weather data'!$B$7:$B$158,'weather data'!$C$7:$C$158)</f>
        <v>0</v>
      </c>
      <c r="V16" s="83">
        <f t="shared" si="9"/>
        <v>0</v>
      </c>
      <c r="W16" s="83">
        <f t="shared" si="27"/>
        <v>0.17600000000000002</v>
      </c>
      <c r="X16" s="75">
        <f>LOOKUP(N16,'weather data'!$B$7:$B$158,'weather data'!$D$7:$D$158)</f>
        <v>0.2</v>
      </c>
      <c r="Y16" s="165">
        <f>Y15+(1.05-0.7)/23</f>
        <v>0.7152173913043478</v>
      </c>
      <c r="Z16" s="165">
        <f t="shared" si="28"/>
        <v>0.46489130434782611</v>
      </c>
      <c r="AA16" s="165">
        <f>AA15+(1.05-0.7)/35</f>
        <v>0.71</v>
      </c>
      <c r="AB16" s="165">
        <f t="shared" si="29"/>
        <v>0.46149999999999997</v>
      </c>
      <c r="AC16" s="165">
        <f>AC15+(1-0.4)/23</f>
        <v>0.42608695652173917</v>
      </c>
      <c r="AD16" s="165">
        <f t="shared" si="30"/>
        <v>0.29826086956521741</v>
      </c>
      <c r="AE16" s="165">
        <f>AE15+(0.95-0.5)/35</f>
        <v>0.5128571428571429</v>
      </c>
      <c r="AF16" s="165">
        <f t="shared" si="31"/>
        <v>0.43592857142857144</v>
      </c>
      <c r="AG16" s="155">
        <f t="shared" si="32"/>
        <v>0.43425363354037261</v>
      </c>
      <c r="AH16" s="87">
        <f t="shared" si="10"/>
        <v>1</v>
      </c>
      <c r="AI16" s="156">
        <f t="shared" si="11"/>
        <v>0.43425363354037261</v>
      </c>
      <c r="AJ16" s="82">
        <f t="shared" si="12"/>
        <v>8.6850726708074533E-2</v>
      </c>
      <c r="AK16" s="82">
        <f t="shared" si="13"/>
        <v>8.6850726708074533E-2</v>
      </c>
      <c r="AL16" s="82">
        <f t="shared" si="33"/>
        <v>0.55005713999944583</v>
      </c>
      <c r="AM16" s="157">
        <f t="shared" si="0"/>
        <v>4.7512111801242082E-2</v>
      </c>
      <c r="AN16" s="24">
        <f t="shared" si="1"/>
        <v>0.45857817080745272</v>
      </c>
      <c r="AO16" s="51"/>
      <c r="AP16" s="51">
        <f t="shared" si="14"/>
        <v>0.72455350987577538</v>
      </c>
      <c r="AQ16" s="51">
        <f t="shared" si="34"/>
        <v>18.403659150844693</v>
      </c>
      <c r="AR16" s="24">
        <f t="shared" si="15"/>
        <v>0.26808479865403689</v>
      </c>
      <c r="AS16" s="37">
        <f t="shared" si="16"/>
        <v>0.45646871122173849</v>
      </c>
      <c r="AT16" s="24">
        <f t="shared" si="35"/>
        <v>0.23855228305793477</v>
      </c>
      <c r="AU16" s="24">
        <f t="shared" si="17"/>
        <v>0.32510902710598855</v>
      </c>
      <c r="AV16" s="24">
        <f t="shared" si="18"/>
        <v>0.39944448276978683</v>
      </c>
      <c r="AW16" s="24">
        <f t="shared" si="19"/>
        <v>1</v>
      </c>
      <c r="AX16" s="24">
        <f t="shared" si="20"/>
        <v>0</v>
      </c>
      <c r="AY16" s="25">
        <f t="shared" si="36"/>
        <v>0</v>
      </c>
      <c r="AZ16" s="24">
        <f t="shared" si="21"/>
        <v>0</v>
      </c>
      <c r="BA16" s="48">
        <f t="shared" si="37"/>
        <v>0</v>
      </c>
      <c r="BB16" s="48">
        <f t="shared" si="38"/>
        <v>0</v>
      </c>
      <c r="BC16" s="24">
        <f t="shared" si="22"/>
        <v>0</v>
      </c>
      <c r="BD16" s="51">
        <f t="shared" si="39"/>
        <v>0</v>
      </c>
      <c r="BE16" s="86">
        <f t="shared" si="23"/>
        <v>0.22494811289345723</v>
      </c>
      <c r="BF16" s="30">
        <f t="shared" si="24"/>
        <v>2.9398266002076399E-4</v>
      </c>
      <c r="BG16" s="30">
        <f t="shared" si="40"/>
        <v>0.22494811289345723</v>
      </c>
    </row>
    <row r="17" spans="1:78" x14ac:dyDescent="0.25">
      <c r="A17" s="15">
        <v>42162</v>
      </c>
      <c r="B17">
        <v>20</v>
      </c>
      <c r="C17" s="54">
        <f t="shared" si="3"/>
        <v>2.6737967914438503</v>
      </c>
      <c r="E17"/>
      <c r="L17" s="78">
        <f t="shared" si="4"/>
        <v>2.6737967914438503</v>
      </c>
      <c r="M17" s="64"/>
      <c r="N17" s="58">
        <v>42162</v>
      </c>
      <c r="O17" s="34">
        <f t="shared" si="5"/>
        <v>2.6737967914438503</v>
      </c>
      <c r="P17" s="80">
        <f t="shared" si="6"/>
        <v>2.9398266002076399E-4</v>
      </c>
      <c r="Q17" s="80">
        <f t="shared" si="25"/>
        <v>7.467159564527405E-3</v>
      </c>
      <c r="R17" s="79">
        <f t="shared" si="26"/>
        <v>447.86096256684493</v>
      </c>
      <c r="S17" s="81">
        <f t="shared" si="7"/>
        <v>1.0281472969854108E-2</v>
      </c>
      <c r="T17" s="80">
        <f t="shared" si="8"/>
        <v>4.9242095553477978E-2</v>
      </c>
      <c r="U17" s="83">
        <f>LOOKUP(N17,'weather data'!$B$7:$B$158,'weather data'!$C$7:$C$158)</f>
        <v>0</v>
      </c>
      <c r="V17" s="83">
        <f t="shared" si="9"/>
        <v>0</v>
      </c>
      <c r="W17" s="83">
        <f t="shared" si="27"/>
        <v>0.17600000000000002</v>
      </c>
      <c r="X17" s="75">
        <f>LOOKUP(N17,'weather data'!$B$7:$B$158,'weather data'!$D$7:$D$158)</f>
        <v>0.23</v>
      </c>
      <c r="Y17" s="165">
        <f t="shared" ref="Y17:Y38" si="41">Y16+(1.05-0.7)/23</f>
        <v>0.73043478260869565</v>
      </c>
      <c r="Z17" s="165">
        <f t="shared" si="28"/>
        <v>0.4747826086956522</v>
      </c>
      <c r="AA17" s="165">
        <f t="shared" ref="AA17:AA50" si="42">AA16+(1.05-0.7)/35</f>
        <v>0.72</v>
      </c>
      <c r="AB17" s="165">
        <f t="shared" si="29"/>
        <v>0.46799999999999997</v>
      </c>
      <c r="AC17" s="165">
        <f t="shared" ref="AC17:AC38" si="43">AC16+(1-0.4)/23</f>
        <v>0.45217391304347831</v>
      </c>
      <c r="AD17" s="165">
        <f t="shared" si="30"/>
        <v>0.3165217391304348</v>
      </c>
      <c r="AE17" s="165">
        <f t="shared" ref="AE17:AE50" si="44">AE16+(0.95-0.5)/35</f>
        <v>0.5257142857142858</v>
      </c>
      <c r="AF17" s="165">
        <f t="shared" si="31"/>
        <v>0.4468571428571429</v>
      </c>
      <c r="AG17" s="155">
        <f t="shared" si="32"/>
        <v>0.4449572670807454</v>
      </c>
      <c r="AH17" s="87">
        <f t="shared" si="10"/>
        <v>1</v>
      </c>
      <c r="AI17" s="156">
        <f t="shared" si="11"/>
        <v>0.4449572670807454</v>
      </c>
      <c r="AJ17" s="82">
        <f t="shared" si="12"/>
        <v>0.10234017142857145</v>
      </c>
      <c r="AK17" s="82">
        <f t="shared" si="13"/>
        <v>0.10234017142857145</v>
      </c>
      <c r="AL17" s="82">
        <f t="shared" si="33"/>
        <v>0.65239731142801727</v>
      </c>
      <c r="AM17" s="157">
        <f t="shared" si="0"/>
        <v>8.3190890269151385E-2</v>
      </c>
      <c r="AN17" s="24">
        <f t="shared" si="1"/>
        <v>0.61520800828157451</v>
      </c>
      <c r="AO17" s="51"/>
      <c r="AP17" s="51">
        <f t="shared" si="14"/>
        <v>0.97202865308488773</v>
      </c>
      <c r="AQ17" s="51">
        <f t="shared" si="34"/>
        <v>24.689527788356148</v>
      </c>
      <c r="AR17" s="24">
        <f t="shared" si="15"/>
        <v>0.35965060164140844</v>
      </c>
      <c r="AS17" s="37">
        <f t="shared" si="16"/>
        <v>0.61237805144347934</v>
      </c>
      <c r="AT17" s="24">
        <f t="shared" si="35"/>
        <v>0.32510902710598855</v>
      </c>
      <c r="AU17" s="24">
        <f t="shared" si="17"/>
        <v>0.4271552158745392</v>
      </c>
      <c r="AV17" s="24">
        <f t="shared" si="18"/>
        <v>0.54487343721034853</v>
      </c>
      <c r="AW17" s="24">
        <f t="shared" si="19"/>
        <v>1</v>
      </c>
      <c r="AX17" s="24">
        <f t="shared" si="20"/>
        <v>0</v>
      </c>
      <c r="AY17" s="25">
        <f t="shared" si="36"/>
        <v>0</v>
      </c>
      <c r="AZ17" s="24">
        <f t="shared" si="21"/>
        <v>0</v>
      </c>
      <c r="BA17" s="48">
        <f t="shared" si="37"/>
        <v>0</v>
      </c>
      <c r="BB17" s="48">
        <f t="shared" si="38"/>
        <v>0</v>
      </c>
      <c r="BC17" s="24">
        <f t="shared" si="22"/>
        <v>0</v>
      </c>
      <c r="BD17" s="51">
        <f t="shared" si="39"/>
        <v>0</v>
      </c>
      <c r="BE17" s="86">
        <f t="shared" si="23"/>
        <v>0.22524209555347799</v>
      </c>
      <c r="BF17" s="30">
        <f t="shared" si="24"/>
        <v>2.9398266002076399E-4</v>
      </c>
      <c r="BG17" s="30">
        <f t="shared" si="40"/>
        <v>0.22524209555347799</v>
      </c>
    </row>
    <row r="18" spans="1:78" x14ac:dyDescent="0.25">
      <c r="A18" s="15">
        <v>42163</v>
      </c>
      <c r="B18">
        <v>10</v>
      </c>
      <c r="C18" s="54">
        <f t="shared" si="3"/>
        <v>1.3368983957219251</v>
      </c>
      <c r="E18"/>
      <c r="L18" s="78">
        <f t="shared" si="4"/>
        <v>1.3368983957219251</v>
      </c>
      <c r="M18" s="64"/>
      <c r="N18" s="58">
        <v>42163</v>
      </c>
      <c r="O18" s="34">
        <f t="shared" si="5"/>
        <v>1.3368983957219251</v>
      </c>
      <c r="P18" s="80">
        <f t="shared" si="6"/>
        <v>1.4699133001038199E-4</v>
      </c>
      <c r="Q18" s="80">
        <f t="shared" si="25"/>
        <v>3.7335797822637025E-3</v>
      </c>
      <c r="R18" s="79">
        <f t="shared" si="26"/>
        <v>449.19786096256684</v>
      </c>
      <c r="S18" s="81">
        <f t="shared" si="7"/>
        <v>1.0312163933943224E-2</v>
      </c>
      <c r="T18" s="80">
        <f t="shared" si="8"/>
        <v>4.9389086883488351E-2</v>
      </c>
      <c r="U18" s="83">
        <f>LOOKUP(N18,'weather data'!$B$7:$B$158,'weather data'!$C$7:$C$158)</f>
        <v>0</v>
      </c>
      <c r="V18" s="83">
        <f t="shared" si="9"/>
        <v>0</v>
      </c>
      <c r="W18" s="83">
        <f t="shared" si="27"/>
        <v>0.17600000000000002</v>
      </c>
      <c r="X18" s="75">
        <f>LOOKUP(N18,'weather data'!$B$7:$B$158,'weather data'!$D$7:$D$158)</f>
        <v>0.24</v>
      </c>
      <c r="Y18" s="165">
        <f t="shared" si="41"/>
        <v>0.7456521739130435</v>
      </c>
      <c r="Z18" s="165">
        <f t="shared" si="28"/>
        <v>0.48467391304347829</v>
      </c>
      <c r="AA18" s="165">
        <f t="shared" si="42"/>
        <v>0.73</v>
      </c>
      <c r="AB18" s="165">
        <f t="shared" si="29"/>
        <v>0.47449999999999998</v>
      </c>
      <c r="AC18" s="165">
        <f t="shared" si="43"/>
        <v>0.47826086956521746</v>
      </c>
      <c r="AD18" s="165">
        <f t="shared" si="30"/>
        <v>0.33478260869565218</v>
      </c>
      <c r="AE18" s="165">
        <f t="shared" si="44"/>
        <v>0.5385714285714287</v>
      </c>
      <c r="AF18" s="165">
        <f t="shared" si="31"/>
        <v>0.45778571428571441</v>
      </c>
      <c r="AG18" s="155">
        <f t="shared" si="32"/>
        <v>0.45566090062111808</v>
      </c>
      <c r="AH18" s="87">
        <f t="shared" si="10"/>
        <v>1</v>
      </c>
      <c r="AI18" s="156">
        <f t="shared" si="11"/>
        <v>0.45566090062111808</v>
      </c>
      <c r="AJ18" s="82">
        <f t="shared" si="12"/>
        <v>0.10935861614906833</v>
      </c>
      <c r="AK18" s="82">
        <f t="shared" si="13"/>
        <v>0.10935861614906833</v>
      </c>
      <c r="AL18" s="82">
        <f t="shared" si="33"/>
        <v>0.76175592757708555</v>
      </c>
      <c r="AM18" s="157">
        <f t="shared" si="0"/>
        <v>0.11886966873706033</v>
      </c>
      <c r="AN18" s="24">
        <f t="shared" si="1"/>
        <v>0.77183784575569481</v>
      </c>
      <c r="AO18" s="51"/>
      <c r="AP18" s="51">
        <f t="shared" si="14"/>
        <v>1.2195037962939979</v>
      </c>
      <c r="AQ18" s="51">
        <f t="shared" si="34"/>
        <v>30.975396425867544</v>
      </c>
      <c r="AR18" s="24">
        <f t="shared" si="15"/>
        <v>0.45121640462877921</v>
      </c>
      <c r="AS18" s="37">
        <f t="shared" si="16"/>
        <v>0.76828739166521864</v>
      </c>
      <c r="AT18" s="24">
        <f t="shared" si="35"/>
        <v>0.4271552158745392</v>
      </c>
      <c r="AU18" s="24">
        <f t="shared" si="17"/>
        <v>0.53636684069359719</v>
      </c>
      <c r="AV18" s="24">
        <f t="shared" si="18"/>
        <v>0.68313695560040066</v>
      </c>
      <c r="AW18" s="24">
        <f t="shared" si="19"/>
        <v>1</v>
      </c>
      <c r="AX18" s="24">
        <f t="shared" si="20"/>
        <v>0</v>
      </c>
      <c r="AY18" s="25">
        <f t="shared" si="36"/>
        <v>0</v>
      </c>
      <c r="AZ18" s="24">
        <f t="shared" si="21"/>
        <v>0</v>
      </c>
      <c r="BA18" s="48">
        <f t="shared" si="37"/>
        <v>0</v>
      </c>
      <c r="BB18" s="48">
        <f t="shared" si="38"/>
        <v>0</v>
      </c>
      <c r="BC18" s="24">
        <f t="shared" si="22"/>
        <v>0</v>
      </c>
      <c r="BD18" s="51">
        <f t="shared" si="39"/>
        <v>0</v>
      </c>
      <c r="BE18" s="86">
        <f t="shared" si="23"/>
        <v>0.22538908688348838</v>
      </c>
      <c r="BF18" s="30">
        <f t="shared" si="24"/>
        <v>1.4699133001038199E-4</v>
      </c>
      <c r="BG18" s="30">
        <f t="shared" si="40"/>
        <v>0.22538908688348838</v>
      </c>
    </row>
    <row r="19" spans="1:78" x14ac:dyDescent="0.25">
      <c r="A19" s="15">
        <v>42164</v>
      </c>
      <c r="B19">
        <v>3570</v>
      </c>
      <c r="C19" s="54">
        <f t="shared" si="3"/>
        <v>477.27272727272725</v>
      </c>
      <c r="E19"/>
      <c r="L19" s="78">
        <f t="shared" si="4"/>
        <v>477.27272727272725</v>
      </c>
      <c r="M19" s="64"/>
      <c r="N19" s="58">
        <v>42164</v>
      </c>
      <c r="O19" s="34">
        <f t="shared" si="5"/>
        <v>477.27272727272725</v>
      </c>
      <c r="P19" s="80">
        <f t="shared" si="6"/>
        <v>5.247590481370637E-2</v>
      </c>
      <c r="Q19" s="80">
        <f t="shared" si="25"/>
        <v>1.3328879822681416</v>
      </c>
      <c r="R19" s="79">
        <f t="shared" si="26"/>
        <v>926.47058823529414</v>
      </c>
      <c r="S19" s="81">
        <f t="shared" si="7"/>
        <v>2.1268838113757901E-2</v>
      </c>
      <c r="T19" s="80">
        <f t="shared" si="8"/>
        <v>0.10186499169719472</v>
      </c>
      <c r="U19" s="83">
        <f>LOOKUP(N19,'weather data'!$B$7:$B$158,'weather data'!$C$7:$C$158)</f>
        <v>0</v>
      </c>
      <c r="V19" s="83">
        <f t="shared" si="9"/>
        <v>0</v>
      </c>
      <c r="W19" s="83">
        <f t="shared" si="27"/>
        <v>0.17600000000000002</v>
      </c>
      <c r="X19" s="75">
        <f>LOOKUP(N19,'weather data'!$B$7:$B$158,'weather data'!$D$7:$D$158)</f>
        <v>0.23</v>
      </c>
      <c r="Y19" s="165">
        <f t="shared" si="41"/>
        <v>0.76086956521739135</v>
      </c>
      <c r="Z19" s="165">
        <f t="shared" si="28"/>
        <v>0.49456521739130438</v>
      </c>
      <c r="AA19" s="165">
        <f t="shared" si="42"/>
        <v>0.74</v>
      </c>
      <c r="AB19" s="165">
        <f t="shared" si="29"/>
        <v>0.48099999999999998</v>
      </c>
      <c r="AC19" s="165">
        <f t="shared" si="43"/>
        <v>0.50434782608695661</v>
      </c>
      <c r="AD19" s="165">
        <f t="shared" si="30"/>
        <v>0.35304347826086963</v>
      </c>
      <c r="AE19" s="165">
        <f t="shared" si="44"/>
        <v>0.5514285714285716</v>
      </c>
      <c r="AF19" s="165">
        <f t="shared" si="31"/>
        <v>0.46871428571428586</v>
      </c>
      <c r="AG19" s="155">
        <f t="shared" si="32"/>
        <v>0.46636453416149071</v>
      </c>
      <c r="AH19" s="87">
        <f t="shared" si="10"/>
        <v>1</v>
      </c>
      <c r="AI19" s="156">
        <f t="shared" si="11"/>
        <v>0.46636453416149071</v>
      </c>
      <c r="AJ19" s="82">
        <f t="shared" si="12"/>
        <v>0.10726384285714287</v>
      </c>
      <c r="AK19" s="82">
        <f t="shared" si="13"/>
        <v>0.10726384285714287</v>
      </c>
      <c r="AL19" s="82">
        <f t="shared" si="33"/>
        <v>0.8690197704342284</v>
      </c>
      <c r="AM19" s="157">
        <f t="shared" si="0"/>
        <v>0.15454844720496907</v>
      </c>
      <c r="AN19" s="24">
        <f t="shared" si="1"/>
        <v>0.92846768322981421</v>
      </c>
      <c r="AO19" s="51"/>
      <c r="AP19" s="51">
        <f t="shared" si="14"/>
        <v>1.4669789395031065</v>
      </c>
      <c r="AQ19" s="51">
        <f t="shared" si="34"/>
        <v>37.261265063378907</v>
      </c>
      <c r="AR19" s="24">
        <f t="shared" si="15"/>
        <v>0.54278220761614937</v>
      </c>
      <c r="AS19" s="37">
        <f t="shared" si="16"/>
        <v>0.92419673188695717</v>
      </c>
      <c r="AT19" s="24">
        <f t="shared" si="35"/>
        <v>0.53636684069359719</v>
      </c>
      <c r="AU19" s="24">
        <f t="shared" si="17"/>
        <v>0.5911547787370337</v>
      </c>
      <c r="AV19" s="24">
        <f t="shared" si="18"/>
        <v>0.87582416076607283</v>
      </c>
      <c r="AW19" s="24">
        <f t="shared" si="19"/>
        <v>1</v>
      </c>
      <c r="AX19" s="24">
        <f t="shared" si="20"/>
        <v>0</v>
      </c>
      <c r="AY19" s="25">
        <f t="shared" si="36"/>
        <v>0</v>
      </c>
      <c r="AZ19" s="24">
        <f t="shared" si="21"/>
        <v>0</v>
      </c>
      <c r="BA19" s="48">
        <f t="shared" si="37"/>
        <v>0</v>
      </c>
      <c r="BB19" s="48">
        <f t="shared" si="38"/>
        <v>0</v>
      </c>
      <c r="BC19" s="24">
        <f t="shared" si="22"/>
        <v>0</v>
      </c>
      <c r="BD19" s="51">
        <f t="shared" si="39"/>
        <v>0</v>
      </c>
      <c r="BE19" s="86">
        <f t="shared" si="23"/>
        <v>0.27786499169719475</v>
      </c>
      <c r="BF19" s="30">
        <f t="shared" si="24"/>
        <v>5.247590481370637E-2</v>
      </c>
      <c r="BG19" s="30">
        <f t="shared" si="40"/>
        <v>0.27786499169719475</v>
      </c>
    </row>
    <row r="20" spans="1:78" x14ac:dyDescent="0.25">
      <c r="A20" s="15">
        <v>42165</v>
      </c>
      <c r="B20">
        <v>0</v>
      </c>
      <c r="C20" s="54">
        <f t="shared" si="3"/>
        <v>0</v>
      </c>
      <c r="E20"/>
      <c r="L20" s="78">
        <f t="shared" si="4"/>
        <v>0</v>
      </c>
      <c r="M20" s="64"/>
      <c r="N20" s="58">
        <v>42165</v>
      </c>
      <c r="O20" s="34">
        <f t="shared" si="5"/>
        <v>0</v>
      </c>
      <c r="P20" s="80">
        <f t="shared" si="6"/>
        <v>0</v>
      </c>
      <c r="Q20" s="80">
        <f t="shared" si="25"/>
        <v>0</v>
      </c>
      <c r="R20" s="79">
        <f t="shared" si="26"/>
        <v>926.47058823529414</v>
      </c>
      <c r="S20" s="81">
        <f t="shared" si="7"/>
        <v>2.1268838113757901E-2</v>
      </c>
      <c r="T20" s="80">
        <f t="shared" si="8"/>
        <v>0.10186499169719472</v>
      </c>
      <c r="U20" s="83">
        <f>LOOKUP(N20,'weather data'!$B$7:$B$158,'weather data'!$C$7:$C$158)</f>
        <v>0.84</v>
      </c>
      <c r="V20" s="83">
        <f t="shared" si="9"/>
        <v>0.67200000000000004</v>
      </c>
      <c r="W20" s="83">
        <f t="shared" si="27"/>
        <v>0.84800000000000009</v>
      </c>
      <c r="X20" s="75">
        <f>LOOKUP(N20,'weather data'!$B$7:$B$158,'weather data'!$D$7:$D$158)</f>
        <v>0.24</v>
      </c>
      <c r="Y20" s="165">
        <f t="shared" si="41"/>
        <v>0.7760869565217392</v>
      </c>
      <c r="Z20" s="165">
        <f t="shared" si="28"/>
        <v>0.50445652173913047</v>
      </c>
      <c r="AA20" s="165">
        <f t="shared" si="42"/>
        <v>0.75</v>
      </c>
      <c r="AB20" s="165">
        <f t="shared" si="29"/>
        <v>0.48750000000000004</v>
      </c>
      <c r="AC20" s="165">
        <f t="shared" si="43"/>
        <v>0.5304347826086957</v>
      </c>
      <c r="AD20" s="165">
        <f t="shared" si="30"/>
        <v>0.37130434782608696</v>
      </c>
      <c r="AE20" s="165">
        <f t="shared" si="44"/>
        <v>0.5642857142857145</v>
      </c>
      <c r="AF20" s="165">
        <f t="shared" si="31"/>
        <v>0.47964285714285732</v>
      </c>
      <c r="AG20" s="155">
        <f t="shared" si="32"/>
        <v>0.47706816770186339</v>
      </c>
      <c r="AH20" s="87">
        <f t="shared" si="10"/>
        <v>1</v>
      </c>
      <c r="AI20" s="156">
        <f t="shared" si="11"/>
        <v>0.47706816770186339</v>
      </c>
      <c r="AJ20" s="82">
        <f t="shared" si="12"/>
        <v>0.11449636024844721</v>
      </c>
      <c r="AK20" s="82">
        <f t="shared" si="13"/>
        <v>0.11449636024844721</v>
      </c>
      <c r="AL20" s="82">
        <f t="shared" si="33"/>
        <v>0.98351613068267563</v>
      </c>
      <c r="AM20" s="157">
        <f t="shared" si="0"/>
        <v>0.19022722567287803</v>
      </c>
      <c r="AN20" s="24">
        <f t="shared" si="1"/>
        <v>1.0850975207039344</v>
      </c>
      <c r="AO20" s="51"/>
      <c r="AP20" s="51">
        <f t="shared" si="14"/>
        <v>1.7144540827122163</v>
      </c>
      <c r="AQ20" s="51">
        <f t="shared" si="34"/>
        <v>43.547133700890292</v>
      </c>
      <c r="AR20" s="24">
        <f t="shared" si="15"/>
        <v>0.63434801060352008</v>
      </c>
      <c r="AS20" s="37">
        <f t="shared" si="16"/>
        <v>1.0801060721086961</v>
      </c>
      <c r="AT20" s="24">
        <f t="shared" si="35"/>
        <v>0.5911547787370337</v>
      </c>
      <c r="AU20" s="24">
        <f t="shared" si="17"/>
        <v>3.3651138985480888E-2</v>
      </c>
      <c r="AV20" s="24">
        <f t="shared" si="18"/>
        <v>1.6808029437267353</v>
      </c>
      <c r="AW20" s="24">
        <f t="shared" si="19"/>
        <v>1</v>
      </c>
      <c r="AX20" s="24">
        <f t="shared" si="20"/>
        <v>0</v>
      </c>
      <c r="AY20" s="25">
        <f t="shared" si="36"/>
        <v>0</v>
      </c>
      <c r="AZ20" s="24">
        <f t="shared" si="21"/>
        <v>0</v>
      </c>
      <c r="BA20" s="48">
        <f t="shared" si="37"/>
        <v>0</v>
      </c>
      <c r="BB20" s="48">
        <f t="shared" si="38"/>
        <v>0</v>
      </c>
      <c r="BC20" s="24">
        <f t="shared" si="22"/>
        <v>0</v>
      </c>
      <c r="BD20" s="51">
        <f t="shared" si="39"/>
        <v>0</v>
      </c>
      <c r="BE20" s="86">
        <f t="shared" si="23"/>
        <v>0.94986499169719485</v>
      </c>
      <c r="BF20" s="30">
        <f t="shared" si="24"/>
        <v>0.67200000000000004</v>
      </c>
      <c r="BG20" s="30">
        <f t="shared" si="40"/>
        <v>0.94986499169719485</v>
      </c>
    </row>
    <row r="21" spans="1:78" x14ac:dyDescent="0.25">
      <c r="A21" s="15">
        <v>42166</v>
      </c>
      <c r="B21">
        <v>0</v>
      </c>
      <c r="C21" s="54">
        <f t="shared" si="3"/>
        <v>0</v>
      </c>
      <c r="E21"/>
      <c r="G21" s="15"/>
      <c r="L21" s="78">
        <f t="shared" si="4"/>
        <v>0</v>
      </c>
      <c r="M21" s="64"/>
      <c r="N21" s="58">
        <v>42166</v>
      </c>
      <c r="O21" s="34">
        <f t="shared" si="5"/>
        <v>0</v>
      </c>
      <c r="P21" s="80">
        <f t="shared" si="6"/>
        <v>0</v>
      </c>
      <c r="Q21" s="80">
        <f t="shared" si="25"/>
        <v>0</v>
      </c>
      <c r="R21" s="79">
        <f t="shared" si="26"/>
        <v>926.47058823529414</v>
      </c>
      <c r="S21" s="81">
        <f t="shared" si="7"/>
        <v>2.1268838113757901E-2</v>
      </c>
      <c r="T21" s="80">
        <f t="shared" si="8"/>
        <v>0.10186499169719472</v>
      </c>
      <c r="U21" s="83">
        <f>LOOKUP(N21,'weather data'!$B$7:$B$158,'weather data'!$C$7:$C$158)</f>
        <v>0</v>
      </c>
      <c r="V21" s="83">
        <f t="shared" si="9"/>
        <v>0</v>
      </c>
      <c r="W21" s="83">
        <f t="shared" si="27"/>
        <v>0.84800000000000009</v>
      </c>
      <c r="X21" s="75">
        <f>LOOKUP(N21,'weather data'!$B$7:$B$158,'weather data'!$D$7:$D$158)</f>
        <v>0.23</v>
      </c>
      <c r="Y21" s="165">
        <f t="shared" si="41"/>
        <v>0.79130434782608705</v>
      </c>
      <c r="Z21" s="165">
        <f t="shared" si="28"/>
        <v>0.51434782608695662</v>
      </c>
      <c r="AA21" s="165">
        <f t="shared" si="42"/>
        <v>0.76</v>
      </c>
      <c r="AB21" s="165">
        <f t="shared" si="29"/>
        <v>0.49400000000000005</v>
      </c>
      <c r="AC21" s="165">
        <f t="shared" si="43"/>
        <v>0.55652173913043479</v>
      </c>
      <c r="AD21" s="165">
        <f t="shared" si="30"/>
        <v>0.38956521739130434</v>
      </c>
      <c r="AE21" s="165">
        <f t="shared" si="44"/>
        <v>0.5771428571428574</v>
      </c>
      <c r="AF21" s="165">
        <f t="shared" si="31"/>
        <v>0.49057142857142877</v>
      </c>
      <c r="AG21" s="155">
        <f t="shared" si="32"/>
        <v>0.48777180124223612</v>
      </c>
      <c r="AH21" s="87">
        <f t="shared" si="10"/>
        <v>1</v>
      </c>
      <c r="AI21" s="156">
        <f t="shared" si="11"/>
        <v>0.48777180124223612</v>
      </c>
      <c r="AJ21" s="82">
        <f t="shared" si="12"/>
        <v>0.11218751428571432</v>
      </c>
      <c r="AK21" s="82">
        <f t="shared" si="13"/>
        <v>0.11218751428571432</v>
      </c>
      <c r="AL21" s="82">
        <f t="shared" si="33"/>
        <v>1.0957036449683899</v>
      </c>
      <c r="AM21" s="157">
        <f t="shared" si="0"/>
        <v>0.22590600414078715</v>
      </c>
      <c r="AN21" s="24">
        <f t="shared" si="1"/>
        <v>1.2417273581780557</v>
      </c>
      <c r="AO21" s="51"/>
      <c r="AP21" s="51">
        <f t="shared" si="14"/>
        <v>1.9619292259213281</v>
      </c>
      <c r="AQ21" s="51">
        <f t="shared" si="34"/>
        <v>49.833002338401734</v>
      </c>
      <c r="AR21" s="24">
        <f t="shared" si="15"/>
        <v>0.72591381359089135</v>
      </c>
      <c r="AS21" s="37">
        <f t="shared" si="16"/>
        <v>1.2360154123304368</v>
      </c>
      <c r="AT21" s="24">
        <f t="shared" si="35"/>
        <v>3.3651138985480888E-2</v>
      </c>
      <c r="AU21" s="24">
        <f t="shared" si="17"/>
        <v>0.14583865327119522</v>
      </c>
      <c r="AV21" s="24">
        <f t="shared" si="18"/>
        <v>1.8160905726501329</v>
      </c>
      <c r="AW21" s="24">
        <f t="shared" si="19"/>
        <v>1</v>
      </c>
      <c r="AX21" s="24">
        <f t="shared" si="20"/>
        <v>0</v>
      </c>
      <c r="AY21" s="25">
        <f t="shared" si="36"/>
        <v>0</v>
      </c>
      <c r="AZ21" s="24">
        <f t="shared" si="21"/>
        <v>0</v>
      </c>
      <c r="BA21" s="48">
        <f t="shared" si="37"/>
        <v>0</v>
      </c>
      <c r="BB21" s="48">
        <f t="shared" si="38"/>
        <v>0</v>
      </c>
      <c r="BC21" s="24">
        <f t="shared" si="22"/>
        <v>0</v>
      </c>
      <c r="BD21" s="51">
        <f t="shared" si="39"/>
        <v>0</v>
      </c>
      <c r="BE21" s="86">
        <f t="shared" si="23"/>
        <v>0.94986499169719485</v>
      </c>
      <c r="BF21" s="30">
        <f t="shared" si="24"/>
        <v>0</v>
      </c>
      <c r="BG21" s="30">
        <f t="shared" si="40"/>
        <v>0.94986499169719485</v>
      </c>
      <c r="BZ21" t="s">
        <v>282</v>
      </c>
    </row>
    <row r="22" spans="1:78" x14ac:dyDescent="0.25">
      <c r="A22" s="15">
        <v>42167</v>
      </c>
      <c r="B22">
        <v>0</v>
      </c>
      <c r="C22" s="54">
        <f t="shared" si="3"/>
        <v>0</v>
      </c>
      <c r="E22"/>
      <c r="G22" s="15"/>
      <c r="L22" s="78">
        <f t="shared" si="4"/>
        <v>0</v>
      </c>
      <c r="M22" s="64"/>
      <c r="N22" s="58">
        <v>42167</v>
      </c>
      <c r="O22" s="34">
        <f t="shared" si="5"/>
        <v>0</v>
      </c>
      <c r="P22" s="80">
        <f t="shared" si="6"/>
        <v>0</v>
      </c>
      <c r="Q22" s="80">
        <f t="shared" si="25"/>
        <v>0</v>
      </c>
      <c r="R22" s="79">
        <f t="shared" si="26"/>
        <v>926.47058823529414</v>
      </c>
      <c r="S22" s="81">
        <f t="shared" si="7"/>
        <v>2.1268838113757901E-2</v>
      </c>
      <c r="T22" s="80">
        <f t="shared" si="8"/>
        <v>0.10186499169719472</v>
      </c>
      <c r="U22" s="83">
        <f>LOOKUP(N22,'weather data'!$B$7:$B$158,'weather data'!$C$7:$C$158)</f>
        <v>0</v>
      </c>
      <c r="V22" s="83">
        <f t="shared" si="9"/>
        <v>0</v>
      </c>
      <c r="W22" s="83">
        <f t="shared" si="27"/>
        <v>0.84800000000000009</v>
      </c>
      <c r="X22" s="75">
        <f>LOOKUP(N22,'weather data'!$B$7:$B$158,'weather data'!$D$7:$D$158)</f>
        <v>0.23</v>
      </c>
      <c r="Y22" s="165">
        <f t="shared" si="41"/>
        <v>0.8065217391304349</v>
      </c>
      <c r="Z22" s="165">
        <f t="shared" si="28"/>
        <v>0.52423913043478265</v>
      </c>
      <c r="AA22" s="165">
        <f t="shared" si="42"/>
        <v>0.77</v>
      </c>
      <c r="AB22" s="165">
        <f t="shared" si="29"/>
        <v>0.50050000000000006</v>
      </c>
      <c r="AC22" s="165">
        <f t="shared" si="43"/>
        <v>0.58260869565217388</v>
      </c>
      <c r="AD22" s="165">
        <f t="shared" si="30"/>
        <v>0.40782608695652167</v>
      </c>
      <c r="AE22" s="165">
        <f t="shared" si="44"/>
        <v>0.5900000000000003</v>
      </c>
      <c r="AF22" s="165">
        <f t="shared" si="31"/>
        <v>0.50150000000000028</v>
      </c>
      <c r="AG22" s="155">
        <f t="shared" si="32"/>
        <v>0.49847543478260881</v>
      </c>
      <c r="AH22" s="87">
        <f t="shared" si="10"/>
        <v>1</v>
      </c>
      <c r="AI22" s="156">
        <f t="shared" si="11"/>
        <v>0.49847543478260881</v>
      </c>
      <c r="AJ22" s="82">
        <f t="shared" si="12"/>
        <v>0.11464935000000002</v>
      </c>
      <c r="AK22" s="82">
        <f t="shared" si="13"/>
        <v>0.11464935000000002</v>
      </c>
      <c r="AL22" s="82">
        <f t="shared" si="33"/>
        <v>1.21035299496839</v>
      </c>
      <c r="AM22" s="157">
        <f t="shared" si="0"/>
        <v>0.26158478260869611</v>
      </c>
      <c r="AN22" s="24">
        <f t="shared" si="1"/>
        <v>1.3983571956521759</v>
      </c>
      <c r="AO22" s="51"/>
      <c r="AP22" s="51">
        <f t="shared" si="14"/>
        <v>2.2094043691304379</v>
      </c>
      <c r="AQ22" s="51">
        <f t="shared" si="34"/>
        <v>56.118870975913119</v>
      </c>
      <c r="AR22" s="24">
        <f t="shared" si="15"/>
        <v>0.81747961657826207</v>
      </c>
      <c r="AS22" s="37">
        <f t="shared" si="16"/>
        <v>1.3919247525521758</v>
      </c>
      <c r="AT22" s="24">
        <f t="shared" si="35"/>
        <v>0.14583865327119522</v>
      </c>
      <c r="AU22" s="24">
        <f t="shared" si="17"/>
        <v>0.26048800327119526</v>
      </c>
      <c r="AV22" s="24">
        <f t="shared" si="18"/>
        <v>1.9489163658592425</v>
      </c>
      <c r="AW22" s="24">
        <f t="shared" si="19"/>
        <v>1</v>
      </c>
      <c r="AX22" s="24">
        <f t="shared" si="20"/>
        <v>0</v>
      </c>
      <c r="AY22" s="25">
        <f t="shared" si="36"/>
        <v>0</v>
      </c>
      <c r="AZ22" s="24">
        <f t="shared" si="21"/>
        <v>0</v>
      </c>
      <c r="BA22" s="48">
        <f t="shared" si="37"/>
        <v>0</v>
      </c>
      <c r="BB22" s="48">
        <f t="shared" si="38"/>
        <v>0</v>
      </c>
      <c r="BC22" s="24">
        <f t="shared" si="22"/>
        <v>0</v>
      </c>
      <c r="BD22" s="51">
        <f t="shared" si="39"/>
        <v>0</v>
      </c>
      <c r="BE22" s="86">
        <f t="shared" si="23"/>
        <v>0.94986499169719485</v>
      </c>
      <c r="BF22" s="30">
        <f t="shared" si="24"/>
        <v>0</v>
      </c>
      <c r="BG22" s="30">
        <f t="shared" si="40"/>
        <v>0.94986499169719485</v>
      </c>
    </row>
    <row r="23" spans="1:78" x14ac:dyDescent="0.25">
      <c r="A23" s="15">
        <v>42168</v>
      </c>
      <c r="B23">
        <v>0</v>
      </c>
      <c r="C23" s="54">
        <f t="shared" si="3"/>
        <v>0</v>
      </c>
      <c r="E23"/>
      <c r="G23" s="15"/>
      <c r="L23" s="78">
        <f t="shared" si="4"/>
        <v>0</v>
      </c>
      <c r="M23" s="64"/>
      <c r="N23" s="58">
        <v>42168</v>
      </c>
      <c r="O23" s="34">
        <f t="shared" si="5"/>
        <v>0</v>
      </c>
      <c r="P23" s="80">
        <f t="shared" si="6"/>
        <v>0</v>
      </c>
      <c r="Q23" s="80">
        <f t="shared" si="25"/>
        <v>0</v>
      </c>
      <c r="R23" s="79">
        <f t="shared" si="26"/>
        <v>926.47058823529414</v>
      </c>
      <c r="S23" s="81">
        <f t="shared" si="7"/>
        <v>2.1268838113757901E-2</v>
      </c>
      <c r="T23" s="80">
        <f t="shared" si="8"/>
        <v>0.10186499169719472</v>
      </c>
      <c r="U23" s="83">
        <f>LOOKUP(N23,'weather data'!$B$7:$B$158,'weather data'!$C$7:$C$158)</f>
        <v>0</v>
      </c>
      <c r="V23" s="83">
        <f t="shared" si="9"/>
        <v>0</v>
      </c>
      <c r="W23" s="83">
        <f t="shared" si="27"/>
        <v>0.84800000000000009</v>
      </c>
      <c r="X23" s="75">
        <f>LOOKUP(N23,'weather data'!$B$7:$B$158,'weather data'!$D$7:$D$158)</f>
        <v>0.22</v>
      </c>
      <c r="Y23" s="165">
        <f t="shared" si="41"/>
        <v>0.82173913043478275</v>
      </c>
      <c r="Z23" s="165">
        <f t="shared" si="28"/>
        <v>0.5341304347826088</v>
      </c>
      <c r="AA23" s="165">
        <f t="shared" si="42"/>
        <v>0.78</v>
      </c>
      <c r="AB23" s="165">
        <f t="shared" si="29"/>
        <v>0.50700000000000001</v>
      </c>
      <c r="AC23" s="165">
        <f t="shared" si="43"/>
        <v>0.60869565217391297</v>
      </c>
      <c r="AD23" s="165">
        <f t="shared" si="30"/>
        <v>0.42608695652173906</v>
      </c>
      <c r="AE23" s="165">
        <f t="shared" si="44"/>
        <v>0.6028571428571432</v>
      </c>
      <c r="AF23" s="165">
        <f t="shared" si="31"/>
        <v>0.51242857142857168</v>
      </c>
      <c r="AG23" s="155">
        <f t="shared" si="32"/>
        <v>0.50917906832298143</v>
      </c>
      <c r="AH23" s="87">
        <f t="shared" si="10"/>
        <v>1</v>
      </c>
      <c r="AI23" s="156">
        <f t="shared" si="11"/>
        <v>0.50917906832298143</v>
      </c>
      <c r="AJ23" s="82">
        <f t="shared" si="12"/>
        <v>0.11201939503105592</v>
      </c>
      <c r="AK23" s="82">
        <f t="shared" si="13"/>
        <v>0.11201939503105592</v>
      </c>
      <c r="AL23" s="82">
        <f t="shared" si="33"/>
        <v>1.322372389999446</v>
      </c>
      <c r="AM23" s="157">
        <f t="shared" si="0"/>
        <v>0.29726356107660484</v>
      </c>
      <c r="AN23" s="24">
        <f t="shared" si="1"/>
        <v>1.5549870331262952</v>
      </c>
      <c r="AO23" s="51"/>
      <c r="AP23" s="51">
        <f t="shared" si="14"/>
        <v>2.4568795123395466</v>
      </c>
      <c r="AQ23" s="51">
        <f t="shared" si="34"/>
        <v>62.404739613424482</v>
      </c>
      <c r="AR23" s="24">
        <f t="shared" si="15"/>
        <v>0.90904541956563223</v>
      </c>
      <c r="AS23" s="37">
        <f t="shared" si="16"/>
        <v>1.5478340927739143</v>
      </c>
      <c r="AT23" s="24">
        <f t="shared" si="35"/>
        <v>0.26048800327119526</v>
      </c>
      <c r="AU23" s="24">
        <f t="shared" si="17"/>
        <v>0.37250739830225116</v>
      </c>
      <c r="AV23" s="24">
        <f t="shared" si="18"/>
        <v>2.0843721140372953</v>
      </c>
      <c r="AW23" s="24">
        <f t="shared" si="19"/>
        <v>1</v>
      </c>
      <c r="AX23" s="24">
        <f t="shared" si="20"/>
        <v>0</v>
      </c>
      <c r="AY23" s="25">
        <f t="shared" si="36"/>
        <v>0</v>
      </c>
      <c r="AZ23" s="24">
        <f t="shared" si="21"/>
        <v>0</v>
      </c>
      <c r="BA23" s="48">
        <f t="shared" si="37"/>
        <v>0</v>
      </c>
      <c r="BB23" s="48">
        <f t="shared" si="38"/>
        <v>0</v>
      </c>
      <c r="BC23" s="24">
        <f t="shared" si="22"/>
        <v>0</v>
      </c>
      <c r="BD23" s="51">
        <f t="shared" si="39"/>
        <v>0</v>
      </c>
      <c r="BE23" s="86">
        <f t="shared" si="23"/>
        <v>0.94986499169719485</v>
      </c>
      <c r="BF23" s="30">
        <f t="shared" si="24"/>
        <v>0</v>
      </c>
      <c r="BG23" s="30">
        <f t="shared" si="40"/>
        <v>0.94986499169719485</v>
      </c>
    </row>
    <row r="24" spans="1:78" x14ac:dyDescent="0.25">
      <c r="A24" s="15">
        <v>42169</v>
      </c>
      <c r="B24">
        <v>0</v>
      </c>
      <c r="C24" s="54">
        <f t="shared" si="3"/>
        <v>0</v>
      </c>
      <c r="E24"/>
      <c r="G24" s="15"/>
      <c r="L24" s="78">
        <f t="shared" si="4"/>
        <v>0</v>
      </c>
      <c r="M24" s="64"/>
      <c r="N24" s="58">
        <v>42169</v>
      </c>
      <c r="O24" s="34">
        <f t="shared" si="5"/>
        <v>0</v>
      </c>
      <c r="P24" s="80">
        <f t="shared" si="6"/>
        <v>0</v>
      </c>
      <c r="Q24" s="80">
        <f t="shared" si="25"/>
        <v>0</v>
      </c>
      <c r="R24" s="79">
        <f t="shared" si="26"/>
        <v>926.47058823529414</v>
      </c>
      <c r="S24" s="81">
        <f t="shared" si="7"/>
        <v>2.1268838113757901E-2</v>
      </c>
      <c r="T24" s="80">
        <f t="shared" si="8"/>
        <v>0.10186499169719472</v>
      </c>
      <c r="U24" s="83">
        <f>LOOKUP(N24,'weather data'!$B$7:$B$158,'weather data'!$C$7:$C$158)</f>
        <v>0</v>
      </c>
      <c r="V24" s="83">
        <f t="shared" si="9"/>
        <v>0</v>
      </c>
      <c r="W24" s="83">
        <f t="shared" si="27"/>
        <v>0.84800000000000009</v>
      </c>
      <c r="X24" s="75">
        <f>LOOKUP(N24,'weather data'!$B$7:$B$158,'weather data'!$D$7:$D$158)</f>
        <v>0.22</v>
      </c>
      <c r="Y24" s="165">
        <f t="shared" si="41"/>
        <v>0.8369565217391306</v>
      </c>
      <c r="Z24" s="165">
        <f t="shared" si="28"/>
        <v>0.54402173913043494</v>
      </c>
      <c r="AA24" s="165">
        <f t="shared" si="42"/>
        <v>0.79</v>
      </c>
      <c r="AB24" s="165">
        <f t="shared" si="29"/>
        <v>0.51350000000000007</v>
      </c>
      <c r="AC24" s="165">
        <f t="shared" si="43"/>
        <v>0.63478260869565206</v>
      </c>
      <c r="AD24" s="165">
        <f t="shared" si="30"/>
        <v>0.44434782608695639</v>
      </c>
      <c r="AE24" s="165">
        <f t="shared" si="44"/>
        <v>0.6157142857142861</v>
      </c>
      <c r="AF24" s="165">
        <f t="shared" si="31"/>
        <v>0.52335714285714319</v>
      </c>
      <c r="AG24" s="155">
        <f t="shared" si="32"/>
        <v>0.51988270186335417</v>
      </c>
      <c r="AH24" s="87">
        <f t="shared" si="10"/>
        <v>1</v>
      </c>
      <c r="AI24" s="156">
        <f t="shared" si="11"/>
        <v>0.51988270186335417</v>
      </c>
      <c r="AJ24" s="82">
        <f t="shared" si="12"/>
        <v>0.11437419440993792</v>
      </c>
      <c r="AK24" s="82">
        <f t="shared" si="13"/>
        <v>0.11437419440993792</v>
      </c>
      <c r="AL24" s="82">
        <f t="shared" si="33"/>
        <v>1.4367465844093839</v>
      </c>
      <c r="AM24" s="157">
        <f t="shared" si="0"/>
        <v>0.33294233954451397</v>
      </c>
      <c r="AN24" s="24">
        <f t="shared" si="1"/>
        <v>1.7116168706004162</v>
      </c>
      <c r="AO24" s="51"/>
      <c r="AP24" s="51">
        <f t="shared" si="14"/>
        <v>2.7043546555486579</v>
      </c>
      <c r="AQ24" s="51">
        <f t="shared" si="34"/>
        <v>68.690608250935909</v>
      </c>
      <c r="AR24" s="24">
        <f t="shared" si="15"/>
        <v>1.0006112225530035</v>
      </c>
      <c r="AS24" s="37">
        <f t="shared" si="16"/>
        <v>1.7037434329956544</v>
      </c>
      <c r="AT24" s="24">
        <f t="shared" si="35"/>
        <v>0.37250739830225116</v>
      </c>
      <c r="AU24" s="24">
        <f t="shared" si="17"/>
        <v>0.48688159271218906</v>
      </c>
      <c r="AV24" s="24">
        <f t="shared" si="18"/>
        <v>2.2174730628364689</v>
      </c>
      <c r="AW24" s="24">
        <f t="shared" si="19"/>
        <v>1</v>
      </c>
      <c r="AX24" s="24">
        <f t="shared" si="20"/>
        <v>0</v>
      </c>
      <c r="AY24" s="25">
        <f t="shared" si="36"/>
        <v>0</v>
      </c>
      <c r="AZ24" s="24">
        <f t="shared" si="21"/>
        <v>0</v>
      </c>
      <c r="BA24" s="48">
        <f t="shared" si="37"/>
        <v>0</v>
      </c>
      <c r="BB24" s="48">
        <f t="shared" si="38"/>
        <v>0</v>
      </c>
      <c r="BC24" s="24">
        <f t="shared" si="22"/>
        <v>0</v>
      </c>
      <c r="BD24" s="51">
        <f t="shared" si="39"/>
        <v>0</v>
      </c>
      <c r="BE24" s="86">
        <f t="shared" si="23"/>
        <v>0.94986499169719485</v>
      </c>
      <c r="BF24" s="30">
        <f t="shared" si="24"/>
        <v>0</v>
      </c>
      <c r="BG24" s="30">
        <f t="shared" si="40"/>
        <v>0.94986499169719485</v>
      </c>
    </row>
    <row r="25" spans="1:78" x14ac:dyDescent="0.25">
      <c r="A25" s="15">
        <v>42170</v>
      </c>
      <c r="B25">
        <v>1010</v>
      </c>
      <c r="C25" s="54">
        <f t="shared" si="3"/>
        <v>135.02673796791444</v>
      </c>
      <c r="E25"/>
      <c r="G25" s="15"/>
      <c r="L25" s="78">
        <f t="shared" si="4"/>
        <v>135.02673796791444</v>
      </c>
      <c r="M25" s="64"/>
      <c r="N25" s="58">
        <v>42170</v>
      </c>
      <c r="O25" s="34">
        <f t="shared" si="5"/>
        <v>135.02673796791444</v>
      </c>
      <c r="P25" s="80">
        <f t="shared" si="6"/>
        <v>1.4846124331048583E-2</v>
      </c>
      <c r="Q25" s="80">
        <f t="shared" si="25"/>
        <v>0.37709155800863398</v>
      </c>
      <c r="R25" s="79">
        <f t="shared" si="26"/>
        <v>1061.4973262032086</v>
      </c>
      <c r="S25" s="81">
        <f t="shared" si="7"/>
        <v>2.436862548675869E-2</v>
      </c>
      <c r="T25" s="80">
        <f t="shared" si="8"/>
        <v>0.1167111160282433</v>
      </c>
      <c r="U25" s="83">
        <f>LOOKUP(N25,'weather data'!$B$7:$B$158,'weather data'!$C$7:$C$158)</f>
        <v>0</v>
      </c>
      <c r="V25" s="83">
        <f t="shared" si="9"/>
        <v>0</v>
      </c>
      <c r="W25" s="83">
        <f t="shared" si="27"/>
        <v>0.84800000000000009</v>
      </c>
      <c r="X25" s="75">
        <f>LOOKUP(N25,'weather data'!$B$7:$B$158,'weather data'!$D$7:$D$158)</f>
        <v>0.25</v>
      </c>
      <c r="Y25" s="165">
        <f t="shared" si="41"/>
        <v>0.85217391304347845</v>
      </c>
      <c r="Z25" s="165">
        <f t="shared" si="28"/>
        <v>0.55391304347826098</v>
      </c>
      <c r="AA25" s="165">
        <f t="shared" si="42"/>
        <v>0.8</v>
      </c>
      <c r="AB25" s="165">
        <f t="shared" si="29"/>
        <v>0.52</v>
      </c>
      <c r="AC25" s="165">
        <f t="shared" si="43"/>
        <v>0.66086956521739115</v>
      </c>
      <c r="AD25" s="165">
        <f t="shared" si="30"/>
        <v>0.46260869565217377</v>
      </c>
      <c r="AE25" s="165">
        <f t="shared" si="44"/>
        <v>0.628571428571429</v>
      </c>
      <c r="AF25" s="165">
        <f t="shared" si="31"/>
        <v>0.53428571428571459</v>
      </c>
      <c r="AG25" s="155">
        <f t="shared" si="32"/>
        <v>0.53058633540372679</v>
      </c>
      <c r="AH25" s="87">
        <f t="shared" si="10"/>
        <v>1</v>
      </c>
      <c r="AI25" s="156">
        <f t="shared" si="11"/>
        <v>0.53058633540372679</v>
      </c>
      <c r="AJ25" s="82">
        <f t="shared" si="12"/>
        <v>0.1326465838509317</v>
      </c>
      <c r="AK25" s="82">
        <f t="shared" si="13"/>
        <v>0.1326465838509317</v>
      </c>
      <c r="AL25" s="82">
        <f t="shared" si="33"/>
        <v>1.5693931682603155</v>
      </c>
      <c r="AM25" s="157">
        <f t="shared" si="0"/>
        <v>0.3686211180124227</v>
      </c>
      <c r="AN25" s="24">
        <f t="shared" si="1"/>
        <v>1.8682467080745355</v>
      </c>
      <c r="AO25" s="51"/>
      <c r="AP25" s="51">
        <f t="shared" si="14"/>
        <v>2.9518297987577662</v>
      </c>
      <c r="AQ25" s="51">
        <f t="shared" si="34"/>
        <v>74.976476888447252</v>
      </c>
      <c r="AR25" s="24">
        <f t="shared" si="15"/>
        <v>1.0921770255403735</v>
      </c>
      <c r="AS25" s="37">
        <f t="shared" si="16"/>
        <v>1.8596527732173926</v>
      </c>
      <c r="AT25" s="24">
        <f t="shared" si="35"/>
        <v>0.48688159271218906</v>
      </c>
      <c r="AU25" s="24">
        <f t="shared" si="17"/>
        <v>0.60468205223207216</v>
      </c>
      <c r="AV25" s="24">
        <f t="shared" si="18"/>
        <v>2.3471477465256942</v>
      </c>
      <c r="AW25" s="24">
        <f t="shared" si="19"/>
        <v>1</v>
      </c>
      <c r="AX25" s="24">
        <f t="shared" si="20"/>
        <v>0</v>
      </c>
      <c r="AY25" s="25">
        <f t="shared" si="36"/>
        <v>0</v>
      </c>
      <c r="AZ25" s="24">
        <f t="shared" si="21"/>
        <v>0</v>
      </c>
      <c r="BA25" s="48">
        <f t="shared" si="37"/>
        <v>0</v>
      </c>
      <c r="BB25" s="48">
        <f t="shared" si="38"/>
        <v>0</v>
      </c>
      <c r="BC25" s="24">
        <f t="shared" si="22"/>
        <v>0</v>
      </c>
      <c r="BD25" s="51">
        <f t="shared" si="39"/>
        <v>0</v>
      </c>
      <c r="BE25" s="86">
        <f t="shared" si="23"/>
        <v>0.96471111602824344</v>
      </c>
      <c r="BF25" s="30">
        <f t="shared" si="24"/>
        <v>1.4846124331048583E-2</v>
      </c>
      <c r="BG25" s="30">
        <f t="shared" si="40"/>
        <v>0.96471111602824344</v>
      </c>
    </row>
    <row r="26" spans="1:78" x14ac:dyDescent="0.25">
      <c r="A26" s="15">
        <v>42171</v>
      </c>
      <c r="B26">
        <v>0</v>
      </c>
      <c r="C26" s="54">
        <f t="shared" si="3"/>
        <v>0</v>
      </c>
      <c r="E26"/>
      <c r="G26" s="15"/>
      <c r="L26" s="78">
        <f t="shared" si="4"/>
        <v>0</v>
      </c>
      <c r="M26" s="64"/>
      <c r="N26" s="58">
        <v>42171</v>
      </c>
      <c r="O26" s="34">
        <f t="shared" si="5"/>
        <v>0</v>
      </c>
      <c r="P26" s="80">
        <f t="shared" si="6"/>
        <v>0</v>
      </c>
      <c r="Q26" s="80">
        <f t="shared" si="25"/>
        <v>0</v>
      </c>
      <c r="R26" s="79">
        <f t="shared" si="26"/>
        <v>1061.4973262032086</v>
      </c>
      <c r="S26" s="81">
        <f t="shared" si="7"/>
        <v>2.436862548675869E-2</v>
      </c>
      <c r="T26" s="80">
        <f t="shared" si="8"/>
        <v>0.1167111160282433</v>
      </c>
      <c r="U26" s="83">
        <f>LOOKUP(N26,'weather data'!$B$7:$B$158,'weather data'!$C$7:$C$158)</f>
        <v>0</v>
      </c>
      <c r="V26" s="83">
        <f t="shared" si="9"/>
        <v>0</v>
      </c>
      <c r="W26" s="83">
        <f t="shared" si="27"/>
        <v>0.84800000000000009</v>
      </c>
      <c r="X26" s="75">
        <f>LOOKUP(N26,'weather data'!$B$7:$B$158,'weather data'!$D$7:$D$158)</f>
        <v>0.24</v>
      </c>
      <c r="Y26" s="165">
        <f t="shared" si="41"/>
        <v>0.8673913043478263</v>
      </c>
      <c r="Z26" s="165">
        <f t="shared" si="28"/>
        <v>0.56380434782608713</v>
      </c>
      <c r="AA26" s="165">
        <f t="shared" si="42"/>
        <v>0.81</v>
      </c>
      <c r="AB26" s="165">
        <f t="shared" si="29"/>
        <v>0.52650000000000008</v>
      </c>
      <c r="AC26" s="165">
        <f t="shared" si="43"/>
        <v>0.68695652173913024</v>
      </c>
      <c r="AD26" s="165">
        <f t="shared" si="30"/>
        <v>0.48086956521739116</v>
      </c>
      <c r="AE26" s="165">
        <f t="shared" si="44"/>
        <v>0.6414285714285719</v>
      </c>
      <c r="AF26" s="165">
        <f t="shared" si="31"/>
        <v>0.5452142857142861</v>
      </c>
      <c r="AG26" s="155">
        <f t="shared" si="32"/>
        <v>0.54128996894409953</v>
      </c>
      <c r="AH26" s="87">
        <f t="shared" si="10"/>
        <v>1</v>
      </c>
      <c r="AI26" s="156">
        <f t="shared" si="11"/>
        <v>0.54128996894409953</v>
      </c>
      <c r="AJ26" s="82">
        <f t="shared" si="12"/>
        <v>0.12990959254658388</v>
      </c>
      <c r="AK26" s="82">
        <f t="shared" si="13"/>
        <v>0.12990959254658388</v>
      </c>
      <c r="AL26" s="82">
        <f t="shared" si="33"/>
        <v>1.6993027608068993</v>
      </c>
      <c r="AM26" s="157">
        <f t="shared" si="0"/>
        <v>0.40429989648033182</v>
      </c>
      <c r="AN26" s="24">
        <f t="shared" si="1"/>
        <v>2.0248765455486568</v>
      </c>
      <c r="AO26" s="51"/>
      <c r="AP26" s="51">
        <f t="shared" si="14"/>
        <v>3.199304941966878</v>
      </c>
      <c r="AQ26" s="51">
        <f t="shared" si="34"/>
        <v>81.262345525958693</v>
      </c>
      <c r="AR26" s="24">
        <f t="shared" si="15"/>
        <v>1.1837428285277449</v>
      </c>
      <c r="AS26" s="37">
        <f t="shared" si="16"/>
        <v>2.0155621134391328</v>
      </c>
      <c r="AT26" s="24">
        <f t="shared" si="35"/>
        <v>0.60468205223207216</v>
      </c>
      <c r="AU26" s="24">
        <f t="shared" si="17"/>
        <v>0.73459164477865602</v>
      </c>
      <c r="AV26" s="24">
        <f t="shared" si="18"/>
        <v>2.4647132971882222</v>
      </c>
      <c r="AW26" s="24">
        <f t="shared" si="19"/>
        <v>1</v>
      </c>
      <c r="AX26" s="24">
        <f t="shared" si="20"/>
        <v>0</v>
      </c>
      <c r="AY26" s="25">
        <f t="shared" si="36"/>
        <v>0</v>
      </c>
      <c r="AZ26" s="24">
        <f t="shared" si="21"/>
        <v>0</v>
      </c>
      <c r="BA26" s="48">
        <f t="shared" si="37"/>
        <v>0</v>
      </c>
      <c r="BB26" s="48">
        <f t="shared" si="38"/>
        <v>0</v>
      </c>
      <c r="BC26" s="24">
        <f t="shared" si="22"/>
        <v>0</v>
      </c>
      <c r="BD26" s="51">
        <f t="shared" si="39"/>
        <v>0</v>
      </c>
      <c r="BE26" s="86">
        <f t="shared" si="23"/>
        <v>0.96471111602824344</v>
      </c>
      <c r="BF26" s="30">
        <f t="shared" si="24"/>
        <v>0</v>
      </c>
      <c r="BG26" s="30">
        <f t="shared" si="40"/>
        <v>0.96471111602824344</v>
      </c>
    </row>
    <row r="27" spans="1:78" x14ac:dyDescent="0.25">
      <c r="A27" s="15">
        <v>42172</v>
      </c>
      <c r="B27">
        <v>0</v>
      </c>
      <c r="C27" s="54">
        <f t="shared" si="3"/>
        <v>0</v>
      </c>
      <c r="E27"/>
      <c r="G27" s="15"/>
      <c r="L27" s="78">
        <f t="shared" si="4"/>
        <v>0</v>
      </c>
      <c r="M27" s="64"/>
      <c r="N27" s="58">
        <v>42172</v>
      </c>
      <c r="O27" s="34">
        <f t="shared" si="5"/>
        <v>0</v>
      </c>
      <c r="P27" s="80">
        <f t="shared" si="6"/>
        <v>0</v>
      </c>
      <c r="Q27" s="80">
        <f t="shared" si="25"/>
        <v>0</v>
      </c>
      <c r="R27" s="79">
        <f t="shared" si="26"/>
        <v>1061.4973262032086</v>
      </c>
      <c r="S27" s="81">
        <f t="shared" si="7"/>
        <v>2.436862548675869E-2</v>
      </c>
      <c r="T27" s="80">
        <f t="shared" si="8"/>
        <v>0.1167111160282433</v>
      </c>
      <c r="U27" s="83">
        <f>LOOKUP(N27,'weather data'!$B$7:$B$158,'weather data'!$C$7:$C$158)</f>
        <v>0</v>
      </c>
      <c r="V27" s="83">
        <f t="shared" si="9"/>
        <v>0</v>
      </c>
      <c r="W27" s="83">
        <f t="shared" si="27"/>
        <v>0.84800000000000009</v>
      </c>
      <c r="X27" s="75">
        <f>LOOKUP(N27,'weather data'!$B$7:$B$158,'weather data'!$D$7:$D$158)</f>
        <v>0.24</v>
      </c>
      <c r="Y27" s="165">
        <f t="shared" si="41"/>
        <v>0.88260869565217415</v>
      </c>
      <c r="Z27" s="165">
        <f t="shared" si="28"/>
        <v>0.57369565217391316</v>
      </c>
      <c r="AA27" s="165">
        <f t="shared" si="42"/>
        <v>0.82000000000000006</v>
      </c>
      <c r="AB27" s="165">
        <f t="shared" si="29"/>
        <v>0.53300000000000003</v>
      </c>
      <c r="AC27" s="165">
        <f t="shared" si="43"/>
        <v>0.71304347826086933</v>
      </c>
      <c r="AD27" s="165">
        <f t="shared" si="30"/>
        <v>0.49913043478260849</v>
      </c>
      <c r="AE27" s="165">
        <f t="shared" si="44"/>
        <v>0.6542857142857148</v>
      </c>
      <c r="AF27" s="165">
        <f t="shared" si="31"/>
        <v>0.55614285714285761</v>
      </c>
      <c r="AG27" s="155">
        <f t="shared" si="32"/>
        <v>0.55199360248447216</v>
      </c>
      <c r="AH27" s="87">
        <f t="shared" si="10"/>
        <v>1</v>
      </c>
      <c r="AI27" s="156">
        <f t="shared" si="11"/>
        <v>0.55199360248447216</v>
      </c>
      <c r="AJ27" s="82">
        <f t="shared" si="12"/>
        <v>0.13247846459627333</v>
      </c>
      <c r="AK27" s="82">
        <f t="shared" si="13"/>
        <v>0.13247846459627333</v>
      </c>
      <c r="AL27" s="82">
        <f t="shared" si="33"/>
        <v>1.8317812254031727</v>
      </c>
      <c r="AM27" s="157">
        <f t="shared" si="0"/>
        <v>0.43997867494824061</v>
      </c>
      <c r="AN27" s="24">
        <f t="shared" si="1"/>
        <v>2.1815063830227759</v>
      </c>
      <c r="AO27" s="51"/>
      <c r="AP27" s="51">
        <f t="shared" si="14"/>
        <v>3.4467800851759862</v>
      </c>
      <c r="AQ27" s="51">
        <f t="shared" si="34"/>
        <v>87.54821416347005</v>
      </c>
      <c r="AR27" s="24">
        <f t="shared" si="15"/>
        <v>1.275308631515115</v>
      </c>
      <c r="AS27" s="37">
        <f t="shared" si="16"/>
        <v>2.171471453660871</v>
      </c>
      <c r="AT27" s="24">
        <f t="shared" si="35"/>
        <v>0.73459164477865602</v>
      </c>
      <c r="AU27" s="24">
        <f t="shared" si="17"/>
        <v>0.86707010937492934</v>
      </c>
      <c r="AV27" s="24">
        <f t="shared" si="18"/>
        <v>2.5797099758010571</v>
      </c>
      <c r="AW27" s="24">
        <f t="shared" si="19"/>
        <v>1</v>
      </c>
      <c r="AX27" s="24">
        <f t="shared" si="20"/>
        <v>0</v>
      </c>
      <c r="AY27" s="25">
        <f t="shared" si="36"/>
        <v>0</v>
      </c>
      <c r="AZ27" s="24">
        <f t="shared" si="21"/>
        <v>0</v>
      </c>
      <c r="BA27" s="48">
        <f t="shared" si="37"/>
        <v>0</v>
      </c>
      <c r="BB27" s="48">
        <f t="shared" si="38"/>
        <v>0</v>
      </c>
      <c r="BC27" s="24">
        <f t="shared" si="22"/>
        <v>0</v>
      </c>
      <c r="BD27" s="51">
        <f t="shared" si="39"/>
        <v>0</v>
      </c>
      <c r="BE27" s="86">
        <f t="shared" si="23"/>
        <v>0.96471111602824344</v>
      </c>
      <c r="BF27" s="30">
        <f t="shared" si="24"/>
        <v>0</v>
      </c>
      <c r="BG27" s="30">
        <f t="shared" si="40"/>
        <v>0.96471111602824344</v>
      </c>
    </row>
    <row r="28" spans="1:78" x14ac:dyDescent="0.25">
      <c r="A28" s="15">
        <v>42173</v>
      </c>
      <c r="B28">
        <v>18100</v>
      </c>
      <c r="C28" s="54">
        <f t="shared" si="3"/>
        <v>2419.7860962566842</v>
      </c>
      <c r="E28"/>
      <c r="G28" s="15"/>
      <c r="L28" s="78">
        <f t="shared" si="4"/>
        <v>2419.7860962566842</v>
      </c>
      <c r="M28" s="64"/>
      <c r="N28" s="58">
        <v>42173</v>
      </c>
      <c r="O28" s="34">
        <f t="shared" si="5"/>
        <v>2419.7860962566842</v>
      </c>
      <c r="P28" s="80">
        <f t="shared" si="6"/>
        <v>0.26605430731879143</v>
      </c>
      <c r="Q28" s="80">
        <f t="shared" si="25"/>
        <v>6.7577794058973017</v>
      </c>
      <c r="R28" s="79">
        <f t="shared" si="26"/>
        <v>3481.2834224598928</v>
      </c>
      <c r="S28" s="81">
        <f t="shared" si="7"/>
        <v>7.9919270488059982E-2</v>
      </c>
      <c r="T28" s="80">
        <f t="shared" si="8"/>
        <v>0.38276542334703473</v>
      </c>
      <c r="U28" s="83">
        <f>LOOKUP(N28,'weather data'!$B$7:$B$158,'weather data'!$C$7:$C$158)</f>
        <v>0</v>
      </c>
      <c r="V28" s="83">
        <f t="shared" si="9"/>
        <v>0</v>
      </c>
      <c r="W28" s="83">
        <f t="shared" si="27"/>
        <v>0.84800000000000009</v>
      </c>
      <c r="X28" s="75">
        <f>LOOKUP(N28,'weather data'!$B$7:$B$158,'weather data'!$D$7:$D$158)</f>
        <v>0.24</v>
      </c>
      <c r="Y28" s="165">
        <f t="shared" si="41"/>
        <v>0.897826086956522</v>
      </c>
      <c r="Z28" s="165">
        <f t="shared" si="28"/>
        <v>0.58358695652173931</v>
      </c>
      <c r="AA28" s="165">
        <f t="shared" si="42"/>
        <v>0.83000000000000007</v>
      </c>
      <c r="AB28" s="165">
        <f t="shared" si="29"/>
        <v>0.53950000000000009</v>
      </c>
      <c r="AC28" s="165">
        <f t="shared" si="43"/>
        <v>0.73913043478260843</v>
      </c>
      <c r="AD28" s="165">
        <f t="shared" si="30"/>
        <v>0.51739130434782588</v>
      </c>
      <c r="AE28" s="165">
        <f t="shared" si="44"/>
        <v>0.6671428571428577</v>
      </c>
      <c r="AF28" s="165">
        <f t="shared" si="31"/>
        <v>0.567071428571429</v>
      </c>
      <c r="AG28" s="155">
        <f t="shared" si="32"/>
        <v>0.56269723602484489</v>
      </c>
      <c r="AH28" s="87">
        <f t="shared" si="10"/>
        <v>1</v>
      </c>
      <c r="AI28" s="156">
        <f t="shared" si="11"/>
        <v>0.56269723602484489</v>
      </c>
      <c r="AJ28" s="82">
        <f t="shared" si="12"/>
        <v>0.13504733664596277</v>
      </c>
      <c r="AK28" s="82">
        <f t="shared" si="13"/>
        <v>0.13504733664596277</v>
      </c>
      <c r="AL28" s="82">
        <f t="shared" si="33"/>
        <v>1.9668285620491355</v>
      </c>
      <c r="AM28" s="157">
        <f t="shared" si="0"/>
        <v>0.47565745341614973</v>
      </c>
      <c r="AN28" s="24">
        <f t="shared" si="1"/>
        <v>2.3381362204968972</v>
      </c>
      <c r="AO28" s="51"/>
      <c r="AP28" s="51">
        <f t="shared" si="14"/>
        <v>3.6942552283850976</v>
      </c>
      <c r="AQ28" s="51">
        <f t="shared" si="34"/>
        <v>93.834082800981477</v>
      </c>
      <c r="AR28" s="24">
        <f t="shared" si="15"/>
        <v>1.3668744345024861</v>
      </c>
      <c r="AS28" s="37">
        <f t="shared" si="16"/>
        <v>2.3273807938826114</v>
      </c>
      <c r="AT28" s="24">
        <f t="shared" si="35"/>
        <v>0.86707010937492934</v>
      </c>
      <c r="AU28" s="24">
        <f t="shared" si="17"/>
        <v>0.73606313870210072</v>
      </c>
      <c r="AV28" s="24">
        <f t="shared" si="18"/>
        <v>2.958192089682997</v>
      </c>
      <c r="AW28" s="24">
        <f t="shared" si="19"/>
        <v>1</v>
      </c>
      <c r="AX28" s="24">
        <f t="shared" si="20"/>
        <v>0</v>
      </c>
      <c r="AY28" s="25">
        <f t="shared" si="36"/>
        <v>0</v>
      </c>
      <c r="AZ28" s="24">
        <f t="shared" si="21"/>
        <v>0</v>
      </c>
      <c r="BA28" s="48">
        <f t="shared" si="37"/>
        <v>0</v>
      </c>
      <c r="BB28" s="48">
        <f t="shared" si="38"/>
        <v>0</v>
      </c>
      <c r="BC28" s="24">
        <f t="shared" si="22"/>
        <v>0</v>
      </c>
      <c r="BD28" s="51">
        <f t="shared" si="39"/>
        <v>0</v>
      </c>
      <c r="BE28" s="86">
        <f t="shared" si="23"/>
        <v>1.2307654233470349</v>
      </c>
      <c r="BF28" s="30">
        <f t="shared" si="24"/>
        <v>0.26605430731879143</v>
      </c>
      <c r="BG28" s="30">
        <f t="shared" si="40"/>
        <v>1.2307654233470349</v>
      </c>
    </row>
    <row r="29" spans="1:78" x14ac:dyDescent="0.25">
      <c r="A29" s="15">
        <v>42174</v>
      </c>
      <c r="B29">
        <v>0</v>
      </c>
      <c r="C29" s="54">
        <f t="shared" si="3"/>
        <v>0</v>
      </c>
      <c r="E29"/>
      <c r="G29" s="15"/>
      <c r="L29" s="78">
        <f t="shared" si="4"/>
        <v>0</v>
      </c>
      <c r="M29" s="64"/>
      <c r="N29" s="58">
        <v>42174</v>
      </c>
      <c r="O29" s="34">
        <f t="shared" si="5"/>
        <v>0</v>
      </c>
      <c r="P29" s="80">
        <f t="shared" si="6"/>
        <v>0</v>
      </c>
      <c r="Q29" s="80">
        <f t="shared" si="25"/>
        <v>0</v>
      </c>
      <c r="R29" s="79">
        <f t="shared" si="26"/>
        <v>3481.2834224598928</v>
      </c>
      <c r="S29" s="81">
        <f t="shared" si="7"/>
        <v>7.9919270488059982E-2</v>
      </c>
      <c r="T29" s="80">
        <f t="shared" si="8"/>
        <v>0.38276542334703473</v>
      </c>
      <c r="U29" s="83">
        <f>LOOKUP(N29,'weather data'!$B$7:$B$158,'weather data'!$C$7:$C$158)</f>
        <v>0</v>
      </c>
      <c r="V29" s="83">
        <f t="shared" si="9"/>
        <v>0</v>
      </c>
      <c r="W29" s="83">
        <f t="shared" si="27"/>
        <v>0.84800000000000009</v>
      </c>
      <c r="X29" s="75">
        <f>LOOKUP(N29,'weather data'!$B$7:$B$158,'weather data'!$D$7:$D$158)</f>
        <v>0.26</v>
      </c>
      <c r="Y29" s="165">
        <f t="shared" si="41"/>
        <v>0.91304347826086985</v>
      </c>
      <c r="Z29" s="165">
        <f t="shared" si="28"/>
        <v>0.59347826086956545</v>
      </c>
      <c r="AA29" s="165">
        <f t="shared" si="42"/>
        <v>0.84000000000000008</v>
      </c>
      <c r="AB29" s="165">
        <f t="shared" si="29"/>
        <v>0.54600000000000004</v>
      </c>
      <c r="AC29" s="165">
        <f t="shared" si="43"/>
        <v>0.76521739130434752</v>
      </c>
      <c r="AD29" s="165">
        <f t="shared" si="30"/>
        <v>0.53565217391304321</v>
      </c>
      <c r="AE29" s="165">
        <f t="shared" si="44"/>
        <v>0.6800000000000006</v>
      </c>
      <c r="AF29" s="165">
        <f t="shared" si="31"/>
        <v>0.57800000000000051</v>
      </c>
      <c r="AG29" s="155">
        <f t="shared" si="32"/>
        <v>0.57340086956521752</v>
      </c>
      <c r="AH29" s="87">
        <f t="shared" si="10"/>
        <v>1</v>
      </c>
      <c r="AI29" s="156">
        <f t="shared" si="11"/>
        <v>0.57340086956521752</v>
      </c>
      <c r="AJ29" s="82">
        <f t="shared" si="12"/>
        <v>0.14908422608695657</v>
      </c>
      <c r="AK29" s="82">
        <f t="shared" si="13"/>
        <v>0.14908422608695657</v>
      </c>
      <c r="AL29" s="82">
        <f t="shared" si="33"/>
        <v>2.1159127881360922</v>
      </c>
      <c r="AM29" s="157">
        <f t="shared" si="0"/>
        <v>0.51133623188405852</v>
      </c>
      <c r="AN29" s="24">
        <f t="shared" si="1"/>
        <v>2.4947660579710167</v>
      </c>
      <c r="AO29" s="51"/>
      <c r="AP29" s="51">
        <f t="shared" si="14"/>
        <v>3.9417303715942067</v>
      </c>
      <c r="AQ29" s="51">
        <f t="shared" si="34"/>
        <v>100.11995143849285</v>
      </c>
      <c r="AR29" s="24">
        <f t="shared" si="15"/>
        <v>1.4584402374898564</v>
      </c>
      <c r="AS29" s="37">
        <f t="shared" si="16"/>
        <v>2.4832901341043501</v>
      </c>
      <c r="AT29" s="24">
        <f t="shared" si="35"/>
        <v>0.73606313870210072</v>
      </c>
      <c r="AU29" s="24">
        <f t="shared" si="17"/>
        <v>0.88514736478905731</v>
      </c>
      <c r="AV29" s="24">
        <f t="shared" si="18"/>
        <v>3.0565830068051492</v>
      </c>
      <c r="AW29" s="24">
        <f t="shared" si="19"/>
        <v>1</v>
      </c>
      <c r="AX29" s="24">
        <f t="shared" si="20"/>
        <v>0</v>
      </c>
      <c r="AY29" s="25">
        <f t="shared" si="36"/>
        <v>0</v>
      </c>
      <c r="AZ29" s="24">
        <f t="shared" si="21"/>
        <v>0</v>
      </c>
      <c r="BA29" s="48">
        <f t="shared" si="37"/>
        <v>0</v>
      </c>
      <c r="BB29" s="48">
        <f t="shared" si="38"/>
        <v>0</v>
      </c>
      <c r="BC29" s="24">
        <f t="shared" si="22"/>
        <v>0</v>
      </c>
      <c r="BD29" s="51">
        <f t="shared" si="39"/>
        <v>0</v>
      </c>
      <c r="BE29" s="86">
        <f t="shared" si="23"/>
        <v>1.2307654233470349</v>
      </c>
      <c r="BF29" s="30">
        <f t="shared" si="24"/>
        <v>0</v>
      </c>
      <c r="BG29" s="30">
        <f t="shared" si="40"/>
        <v>1.2307654233470349</v>
      </c>
    </row>
    <row r="30" spans="1:78" x14ac:dyDescent="0.25">
      <c r="A30" s="15">
        <v>42175</v>
      </c>
      <c r="B30">
        <v>0</v>
      </c>
      <c r="C30" s="54">
        <f t="shared" si="3"/>
        <v>0</v>
      </c>
      <c r="E30"/>
      <c r="G30" s="15"/>
      <c r="L30" s="78">
        <f t="shared" si="4"/>
        <v>0</v>
      </c>
      <c r="M30" s="64"/>
      <c r="N30" s="58">
        <v>42175</v>
      </c>
      <c r="O30" s="34">
        <f t="shared" si="5"/>
        <v>0</v>
      </c>
      <c r="P30" s="80">
        <f t="shared" si="6"/>
        <v>0</v>
      </c>
      <c r="Q30" s="80">
        <f t="shared" si="25"/>
        <v>0</v>
      </c>
      <c r="R30" s="79">
        <f t="shared" si="26"/>
        <v>3481.2834224598928</v>
      </c>
      <c r="S30" s="81">
        <f t="shared" si="7"/>
        <v>7.9919270488059982E-2</v>
      </c>
      <c r="T30" s="80">
        <f t="shared" si="8"/>
        <v>0.38276542334703473</v>
      </c>
      <c r="U30" s="83">
        <f>LOOKUP(N30,'weather data'!$B$7:$B$158,'weather data'!$C$7:$C$158)</f>
        <v>0</v>
      </c>
      <c r="V30" s="83">
        <f t="shared" si="9"/>
        <v>0</v>
      </c>
      <c r="W30" s="83">
        <f t="shared" si="27"/>
        <v>0.84800000000000009</v>
      </c>
      <c r="X30" s="75">
        <f>LOOKUP(N30,'weather data'!$B$7:$B$158,'weather data'!$D$7:$D$158)</f>
        <v>0.22</v>
      </c>
      <c r="Y30" s="165">
        <f t="shared" si="41"/>
        <v>0.92826086956521769</v>
      </c>
      <c r="Z30" s="165">
        <f t="shared" si="28"/>
        <v>0.60336956521739149</v>
      </c>
      <c r="AA30" s="165">
        <f t="shared" si="42"/>
        <v>0.85000000000000009</v>
      </c>
      <c r="AB30" s="165">
        <f t="shared" si="29"/>
        <v>0.5525000000000001</v>
      </c>
      <c r="AC30" s="165">
        <f t="shared" si="43"/>
        <v>0.79130434782608661</v>
      </c>
      <c r="AD30" s="165">
        <f t="shared" si="30"/>
        <v>0.55391304347826054</v>
      </c>
      <c r="AE30" s="165">
        <f t="shared" si="44"/>
        <v>0.6928571428571435</v>
      </c>
      <c r="AF30" s="165">
        <f t="shared" si="31"/>
        <v>0.58892857142857191</v>
      </c>
      <c r="AG30" s="155">
        <f t="shared" si="32"/>
        <v>0.58410450310559026</v>
      </c>
      <c r="AH30" s="87">
        <f t="shared" si="10"/>
        <v>1</v>
      </c>
      <c r="AI30" s="156">
        <f t="shared" si="11"/>
        <v>0.58410450310559026</v>
      </c>
      <c r="AJ30" s="82">
        <f t="shared" si="12"/>
        <v>0.12850299068322985</v>
      </c>
      <c r="AK30" s="82">
        <f t="shared" si="13"/>
        <v>0.12850299068322985</v>
      </c>
      <c r="AL30" s="82">
        <f t="shared" si="33"/>
        <v>2.244415778819322</v>
      </c>
      <c r="AM30" s="157">
        <f t="shared" si="0"/>
        <v>0.54701501035196765</v>
      </c>
      <c r="AN30" s="24">
        <f t="shared" si="1"/>
        <v>2.651395895445138</v>
      </c>
      <c r="AO30" s="51"/>
      <c r="AP30" s="51">
        <f t="shared" si="14"/>
        <v>4.1892055148033185</v>
      </c>
      <c r="AQ30" s="51">
        <f t="shared" si="34"/>
        <v>106.40582007600429</v>
      </c>
      <c r="AR30" s="24">
        <f t="shared" si="15"/>
        <v>1.5500060404772278</v>
      </c>
      <c r="AS30" s="37">
        <f t="shared" si="16"/>
        <v>2.6391994743260909</v>
      </c>
      <c r="AT30" s="24">
        <f t="shared" si="35"/>
        <v>0.88514736478905731</v>
      </c>
      <c r="AU30" s="24">
        <f t="shared" si="17"/>
        <v>1.0136503554722871</v>
      </c>
      <c r="AV30" s="24">
        <f t="shared" si="18"/>
        <v>3.1755551593310312</v>
      </c>
      <c r="AW30" s="24">
        <f t="shared" si="19"/>
        <v>1</v>
      </c>
      <c r="AX30" s="24">
        <f t="shared" si="20"/>
        <v>0</v>
      </c>
      <c r="AY30" s="25">
        <f t="shared" si="36"/>
        <v>0</v>
      </c>
      <c r="AZ30" s="24">
        <f t="shared" si="21"/>
        <v>0</v>
      </c>
      <c r="BA30" s="48">
        <f t="shared" si="37"/>
        <v>0</v>
      </c>
      <c r="BB30" s="48">
        <f t="shared" si="38"/>
        <v>0</v>
      </c>
      <c r="BC30" s="24">
        <f t="shared" si="22"/>
        <v>0</v>
      </c>
      <c r="BD30" s="51">
        <f t="shared" si="39"/>
        <v>0</v>
      </c>
      <c r="BE30" s="86">
        <f t="shared" si="23"/>
        <v>1.2307654233470349</v>
      </c>
      <c r="BF30" s="30">
        <f t="shared" si="24"/>
        <v>0</v>
      </c>
      <c r="BG30" s="30">
        <f t="shared" si="40"/>
        <v>1.2307654233470349</v>
      </c>
    </row>
    <row r="31" spans="1:78" x14ac:dyDescent="0.25">
      <c r="A31" s="15">
        <v>42176</v>
      </c>
      <c r="B31">
        <v>0</v>
      </c>
      <c r="C31" s="54">
        <f t="shared" si="3"/>
        <v>0</v>
      </c>
      <c r="E31"/>
      <c r="G31" s="15"/>
      <c r="L31" s="78">
        <f t="shared" si="4"/>
        <v>0</v>
      </c>
      <c r="M31" s="64"/>
      <c r="N31" s="58">
        <v>42176</v>
      </c>
      <c r="O31" s="34">
        <f t="shared" si="5"/>
        <v>0</v>
      </c>
      <c r="P31" s="80">
        <f t="shared" si="6"/>
        <v>0</v>
      </c>
      <c r="Q31" s="80">
        <f t="shared" si="25"/>
        <v>0</v>
      </c>
      <c r="R31" s="79">
        <f t="shared" si="26"/>
        <v>3481.2834224598928</v>
      </c>
      <c r="S31" s="81">
        <f t="shared" si="7"/>
        <v>7.9919270488059982E-2</v>
      </c>
      <c r="T31" s="80">
        <f t="shared" si="8"/>
        <v>0.38276542334703473</v>
      </c>
      <c r="U31" s="83">
        <f>LOOKUP(N31,'weather data'!$B$7:$B$158,'weather data'!$C$7:$C$158)</f>
        <v>0</v>
      </c>
      <c r="V31" s="83">
        <f t="shared" si="9"/>
        <v>0</v>
      </c>
      <c r="W31" s="83">
        <f t="shared" si="27"/>
        <v>0.84800000000000009</v>
      </c>
      <c r="X31" s="75">
        <f>LOOKUP(N31,'weather data'!$B$7:$B$158,'weather data'!$D$7:$D$158)</f>
        <v>0.24</v>
      </c>
      <c r="Y31" s="165">
        <f t="shared" si="41"/>
        <v>0.94347826086956554</v>
      </c>
      <c r="Z31" s="165">
        <f t="shared" si="28"/>
        <v>0.61326086956521764</v>
      </c>
      <c r="AA31" s="165">
        <f t="shared" si="42"/>
        <v>0.8600000000000001</v>
      </c>
      <c r="AB31" s="165">
        <f t="shared" si="29"/>
        <v>0.55900000000000005</v>
      </c>
      <c r="AC31" s="165">
        <f t="shared" si="43"/>
        <v>0.8173913043478257</v>
      </c>
      <c r="AD31" s="165">
        <f t="shared" si="30"/>
        <v>0.57217391304347798</v>
      </c>
      <c r="AE31" s="165">
        <f t="shared" si="44"/>
        <v>0.7057142857142864</v>
      </c>
      <c r="AF31" s="165">
        <f t="shared" si="31"/>
        <v>0.59985714285714342</v>
      </c>
      <c r="AG31" s="155">
        <f t="shared" si="32"/>
        <v>0.59480813664596299</v>
      </c>
      <c r="AH31" s="87">
        <f t="shared" si="10"/>
        <v>1</v>
      </c>
      <c r="AI31" s="156">
        <f t="shared" si="11"/>
        <v>0.59480813664596299</v>
      </c>
      <c r="AJ31" s="82">
        <f t="shared" si="12"/>
        <v>0.14275395279503111</v>
      </c>
      <c r="AK31" s="82">
        <f t="shared" si="13"/>
        <v>0.14275395279503111</v>
      </c>
      <c r="AL31" s="82">
        <f t="shared" si="33"/>
        <v>2.3871697316143532</v>
      </c>
      <c r="AM31" s="157">
        <f t="shared" si="0"/>
        <v>0.58269378881987677</v>
      </c>
      <c r="AN31" s="24">
        <f t="shared" si="1"/>
        <v>2.8080257329192588</v>
      </c>
      <c r="AO31" s="51"/>
      <c r="AP31" s="51">
        <f t="shared" si="14"/>
        <v>4.4366806580124294</v>
      </c>
      <c r="AQ31" s="51">
        <f t="shared" si="34"/>
        <v>112.6916887135157</v>
      </c>
      <c r="AR31" s="24">
        <f t="shared" si="15"/>
        <v>1.6415718434645989</v>
      </c>
      <c r="AS31" s="37">
        <f t="shared" si="16"/>
        <v>2.7951088145478304</v>
      </c>
      <c r="AT31" s="24">
        <f t="shared" si="35"/>
        <v>1.0136503554722871</v>
      </c>
      <c r="AU31" s="24">
        <f t="shared" si="17"/>
        <v>1.1564043082673181</v>
      </c>
      <c r="AV31" s="24">
        <f t="shared" si="18"/>
        <v>3.2802763497451113</v>
      </c>
      <c r="AW31" s="24">
        <f t="shared" si="19"/>
        <v>1</v>
      </c>
      <c r="AX31" s="24">
        <f t="shared" si="20"/>
        <v>0</v>
      </c>
      <c r="AY31" s="25">
        <f t="shared" si="36"/>
        <v>0</v>
      </c>
      <c r="AZ31" s="24">
        <f t="shared" si="21"/>
        <v>0</v>
      </c>
      <c r="BA31" s="48">
        <f t="shared" si="37"/>
        <v>0</v>
      </c>
      <c r="BB31" s="48">
        <f t="shared" si="38"/>
        <v>0</v>
      </c>
      <c r="BC31" s="24">
        <f t="shared" si="22"/>
        <v>0</v>
      </c>
      <c r="BD31" s="51">
        <f t="shared" si="39"/>
        <v>0</v>
      </c>
      <c r="BE31" s="86">
        <f t="shared" si="23"/>
        <v>1.2307654233470349</v>
      </c>
      <c r="BF31" s="30">
        <f t="shared" si="24"/>
        <v>0</v>
      </c>
      <c r="BG31" s="30">
        <f t="shared" si="40"/>
        <v>1.2307654233470349</v>
      </c>
    </row>
    <row r="32" spans="1:78" x14ac:dyDescent="0.25">
      <c r="A32" s="15">
        <v>42177</v>
      </c>
      <c r="B32">
        <v>0</v>
      </c>
      <c r="C32" s="54">
        <f t="shared" si="3"/>
        <v>0</v>
      </c>
      <c r="E32"/>
      <c r="G32" s="15"/>
      <c r="L32" s="78">
        <f t="shared" si="4"/>
        <v>0</v>
      </c>
      <c r="M32" s="64"/>
      <c r="N32" s="58">
        <v>42177</v>
      </c>
      <c r="O32" s="34">
        <f t="shared" si="5"/>
        <v>0</v>
      </c>
      <c r="P32" s="80">
        <f t="shared" si="6"/>
        <v>0</v>
      </c>
      <c r="Q32" s="80">
        <f t="shared" si="25"/>
        <v>0</v>
      </c>
      <c r="R32" s="79">
        <f t="shared" si="26"/>
        <v>3481.2834224598928</v>
      </c>
      <c r="S32" s="81">
        <f t="shared" si="7"/>
        <v>7.9919270488059982E-2</v>
      </c>
      <c r="T32" s="80">
        <f t="shared" si="8"/>
        <v>0.38276542334703473</v>
      </c>
      <c r="U32" s="83">
        <f>LOOKUP(N32,'weather data'!$B$7:$B$158,'weather data'!$C$7:$C$158)</f>
        <v>0</v>
      </c>
      <c r="V32" s="83">
        <f t="shared" si="9"/>
        <v>0</v>
      </c>
      <c r="W32" s="83">
        <f t="shared" si="27"/>
        <v>0.84800000000000009</v>
      </c>
      <c r="X32" s="75">
        <f>LOOKUP(N32,'weather data'!$B$7:$B$158,'weather data'!$D$7:$D$158)</f>
        <v>0.23</v>
      </c>
      <c r="Y32" s="165">
        <f t="shared" si="41"/>
        <v>0.95869565217391339</v>
      </c>
      <c r="Z32" s="165">
        <f t="shared" si="28"/>
        <v>0.62315217391304367</v>
      </c>
      <c r="AA32" s="165">
        <f t="shared" si="42"/>
        <v>0.87000000000000011</v>
      </c>
      <c r="AB32" s="165">
        <f t="shared" si="29"/>
        <v>0.56550000000000011</v>
      </c>
      <c r="AC32" s="165">
        <f t="shared" si="43"/>
        <v>0.84347826086956479</v>
      </c>
      <c r="AD32" s="165">
        <f t="shared" si="30"/>
        <v>0.59043478260869531</v>
      </c>
      <c r="AE32" s="165">
        <f t="shared" si="44"/>
        <v>0.7185714285714293</v>
      </c>
      <c r="AF32" s="165">
        <f t="shared" si="31"/>
        <v>0.61078571428571493</v>
      </c>
      <c r="AG32" s="155">
        <f t="shared" si="32"/>
        <v>0.60551177018633562</v>
      </c>
      <c r="AH32" s="87">
        <f t="shared" si="10"/>
        <v>1</v>
      </c>
      <c r="AI32" s="156">
        <f t="shared" si="11"/>
        <v>0.60551177018633562</v>
      </c>
      <c r="AJ32" s="82">
        <f t="shared" si="12"/>
        <v>0.13926770714285719</v>
      </c>
      <c r="AK32" s="82">
        <f t="shared" si="13"/>
        <v>0.13926770714285719</v>
      </c>
      <c r="AL32" s="82">
        <f t="shared" si="33"/>
        <v>2.5264374387572106</v>
      </c>
      <c r="AM32" s="157">
        <f t="shared" si="0"/>
        <v>0.61837256728778545</v>
      </c>
      <c r="AN32" s="24">
        <f t="shared" si="1"/>
        <v>2.9646555703933779</v>
      </c>
      <c r="AO32" s="51"/>
      <c r="AP32" s="51">
        <f t="shared" si="14"/>
        <v>4.6841558012215376</v>
      </c>
      <c r="AQ32" s="51">
        <f t="shared" si="34"/>
        <v>118.97755735102704</v>
      </c>
      <c r="AR32" s="24">
        <f t="shared" si="15"/>
        <v>1.733137646451969</v>
      </c>
      <c r="AS32" s="37">
        <f t="shared" si="16"/>
        <v>2.9510181547695686</v>
      </c>
      <c r="AT32" s="24">
        <f t="shared" si="35"/>
        <v>1.1564043082673181</v>
      </c>
      <c r="AU32" s="24">
        <f t="shared" si="17"/>
        <v>1.2956720154101753</v>
      </c>
      <c r="AV32" s="24">
        <f t="shared" si="18"/>
        <v>3.3884837858113626</v>
      </c>
      <c r="AW32" s="24">
        <f t="shared" si="19"/>
        <v>1</v>
      </c>
      <c r="AX32" s="24">
        <f t="shared" si="20"/>
        <v>0</v>
      </c>
      <c r="AY32" s="25">
        <f t="shared" si="36"/>
        <v>0</v>
      </c>
      <c r="AZ32" s="24">
        <f t="shared" si="21"/>
        <v>0</v>
      </c>
      <c r="BA32" s="48">
        <f t="shared" si="37"/>
        <v>0</v>
      </c>
      <c r="BB32" s="48">
        <f t="shared" si="38"/>
        <v>0</v>
      </c>
      <c r="BC32" s="24">
        <f t="shared" si="22"/>
        <v>0</v>
      </c>
      <c r="BD32" s="51">
        <f t="shared" si="39"/>
        <v>0</v>
      </c>
      <c r="BE32" s="86">
        <f t="shared" si="23"/>
        <v>1.2307654233470349</v>
      </c>
      <c r="BF32" s="30">
        <f t="shared" si="24"/>
        <v>0</v>
      </c>
      <c r="BG32" s="30">
        <f t="shared" si="40"/>
        <v>1.2307654233470349</v>
      </c>
    </row>
    <row r="33" spans="1:59" x14ac:dyDescent="0.25">
      <c r="A33" s="15">
        <v>42178</v>
      </c>
      <c r="B33">
        <v>23040</v>
      </c>
      <c r="C33" s="54">
        <f t="shared" si="3"/>
        <v>3080.2139037433153</v>
      </c>
      <c r="E33"/>
      <c r="G33" s="15"/>
      <c r="L33" s="78">
        <f t="shared" si="4"/>
        <v>3080.2139037433153</v>
      </c>
      <c r="M33" s="64"/>
      <c r="N33" s="58">
        <v>42178</v>
      </c>
      <c r="O33" s="34">
        <f t="shared" si="5"/>
        <v>3080.2139037433153</v>
      </c>
      <c r="P33" s="80">
        <f t="shared" si="6"/>
        <v>0.33866802434392013</v>
      </c>
      <c r="Q33" s="80">
        <f t="shared" si="25"/>
        <v>8.6021678183355714</v>
      </c>
      <c r="R33" s="79">
        <f t="shared" si="26"/>
        <v>6561.4973262032081</v>
      </c>
      <c r="S33" s="81">
        <f t="shared" si="7"/>
        <v>0.15063125174938494</v>
      </c>
      <c r="T33" s="80">
        <f t="shared" si="8"/>
        <v>0.72143344769095474</v>
      </c>
      <c r="U33" s="83">
        <f>LOOKUP(N33,'weather data'!$B$7:$B$158,'weather data'!$C$7:$C$158)</f>
        <v>0</v>
      </c>
      <c r="V33" s="83">
        <f t="shared" si="9"/>
        <v>0</v>
      </c>
      <c r="W33" s="83">
        <f t="shared" si="27"/>
        <v>0.84800000000000009</v>
      </c>
      <c r="X33" s="75">
        <f>LOOKUP(N33,'weather data'!$B$7:$B$158,'weather data'!$D$7:$D$158)</f>
        <v>0.23</v>
      </c>
      <c r="Y33" s="165">
        <f t="shared" si="41"/>
        <v>0.97391304347826124</v>
      </c>
      <c r="Z33" s="165">
        <f t="shared" si="28"/>
        <v>0.63304347826086982</v>
      </c>
      <c r="AA33" s="165">
        <f t="shared" si="42"/>
        <v>0.88000000000000012</v>
      </c>
      <c r="AB33" s="165">
        <f t="shared" si="29"/>
        <v>0.57200000000000006</v>
      </c>
      <c r="AC33" s="165">
        <f t="shared" si="43"/>
        <v>0.86956521739130388</v>
      </c>
      <c r="AD33" s="165">
        <f t="shared" si="30"/>
        <v>0.60869565217391264</v>
      </c>
      <c r="AE33" s="165">
        <f t="shared" si="44"/>
        <v>0.73142857142857221</v>
      </c>
      <c r="AF33" s="165">
        <f t="shared" si="31"/>
        <v>0.62171428571428633</v>
      </c>
      <c r="AG33" s="155">
        <f t="shared" si="32"/>
        <v>0.61621540372670824</v>
      </c>
      <c r="AH33" s="87">
        <f t="shared" si="10"/>
        <v>1</v>
      </c>
      <c r="AI33" s="156">
        <f t="shared" si="11"/>
        <v>0.61621540372670824</v>
      </c>
      <c r="AJ33" s="82">
        <f t="shared" si="12"/>
        <v>0.1417295428571429</v>
      </c>
      <c r="AK33" s="82">
        <f t="shared" si="13"/>
        <v>0.1417295428571429</v>
      </c>
      <c r="AL33" s="82">
        <f t="shared" si="33"/>
        <v>2.6681669816143536</v>
      </c>
      <c r="AM33" s="157">
        <f t="shared" si="0"/>
        <v>0.65405134575569424</v>
      </c>
      <c r="AN33" s="24">
        <f t="shared" si="1"/>
        <v>3.1212854078674974</v>
      </c>
      <c r="AO33" s="51"/>
      <c r="AP33" s="51">
        <f t="shared" si="14"/>
        <v>4.9316309444306459</v>
      </c>
      <c r="AQ33" s="51">
        <f t="shared" si="34"/>
        <v>125.2634259885384</v>
      </c>
      <c r="AR33" s="24">
        <f t="shared" si="15"/>
        <v>1.824703449439339</v>
      </c>
      <c r="AS33" s="37">
        <f t="shared" si="16"/>
        <v>3.1069274949913068</v>
      </c>
      <c r="AT33" s="24">
        <f t="shared" si="35"/>
        <v>1.2956720154101753</v>
      </c>
      <c r="AU33" s="24">
        <f t="shared" si="17"/>
        <v>1.0987335339233979</v>
      </c>
      <c r="AV33" s="24">
        <f t="shared" si="18"/>
        <v>3.8328974105072477</v>
      </c>
      <c r="AW33" s="24">
        <f t="shared" si="19"/>
        <v>1</v>
      </c>
      <c r="AX33" s="24">
        <f t="shared" si="20"/>
        <v>0</v>
      </c>
      <c r="AY33" s="25">
        <f t="shared" si="36"/>
        <v>0</v>
      </c>
      <c r="AZ33" s="24">
        <f t="shared" si="21"/>
        <v>0</v>
      </c>
      <c r="BA33" s="48">
        <f t="shared" si="37"/>
        <v>0</v>
      </c>
      <c r="BB33" s="48">
        <f t="shared" si="38"/>
        <v>0</v>
      </c>
      <c r="BC33" s="24">
        <f t="shared" si="22"/>
        <v>0</v>
      </c>
      <c r="BD33" s="51">
        <f t="shared" si="39"/>
        <v>0</v>
      </c>
      <c r="BE33" s="86">
        <f t="shared" si="23"/>
        <v>1.5694334476909551</v>
      </c>
      <c r="BF33" s="30">
        <f t="shared" si="24"/>
        <v>0.33866802434392013</v>
      </c>
      <c r="BG33" s="30">
        <f t="shared" si="40"/>
        <v>1.5694334476909551</v>
      </c>
    </row>
    <row r="34" spans="1:59" x14ac:dyDescent="0.25">
      <c r="A34" s="15">
        <v>42179</v>
      </c>
      <c r="B34">
        <v>0</v>
      </c>
      <c r="C34" s="54">
        <f t="shared" si="3"/>
        <v>0</v>
      </c>
      <c r="E34"/>
      <c r="G34" s="15"/>
      <c r="L34" s="78">
        <f t="shared" si="4"/>
        <v>0</v>
      </c>
      <c r="M34" s="64"/>
      <c r="N34" s="58">
        <v>42179</v>
      </c>
      <c r="O34" s="34">
        <f t="shared" si="5"/>
        <v>0</v>
      </c>
      <c r="P34" s="80">
        <f t="shared" si="6"/>
        <v>0</v>
      </c>
      <c r="Q34" s="80">
        <f t="shared" si="25"/>
        <v>0</v>
      </c>
      <c r="R34" s="79">
        <f t="shared" si="26"/>
        <v>6561.4973262032081</v>
      </c>
      <c r="S34" s="81">
        <f t="shared" si="7"/>
        <v>0.15063125174938494</v>
      </c>
      <c r="T34" s="80">
        <f t="shared" si="8"/>
        <v>0.72143344769095474</v>
      </c>
      <c r="U34" s="83">
        <f>LOOKUP(N34,'weather data'!$B$7:$B$158,'weather data'!$C$7:$C$158)</f>
        <v>0</v>
      </c>
      <c r="V34" s="83">
        <f t="shared" si="9"/>
        <v>0</v>
      </c>
      <c r="W34" s="83">
        <f t="shared" si="27"/>
        <v>0.84800000000000009</v>
      </c>
      <c r="X34" s="75">
        <f>LOOKUP(N34,'weather data'!$B$7:$B$158,'weather data'!$D$7:$D$158)</f>
        <v>0.23</v>
      </c>
      <c r="Y34" s="165">
        <f t="shared" si="41"/>
        <v>0.98913043478260909</v>
      </c>
      <c r="Z34" s="165">
        <f t="shared" si="28"/>
        <v>0.64293478260869596</v>
      </c>
      <c r="AA34" s="165">
        <f t="shared" si="42"/>
        <v>0.89000000000000012</v>
      </c>
      <c r="AB34" s="165">
        <f t="shared" si="29"/>
        <v>0.57850000000000013</v>
      </c>
      <c r="AC34" s="165">
        <f t="shared" si="43"/>
        <v>0.89565217391304297</v>
      </c>
      <c r="AD34" s="165">
        <f t="shared" si="30"/>
        <v>0.62695652173913008</v>
      </c>
      <c r="AE34" s="165">
        <f t="shared" si="44"/>
        <v>0.74428571428571511</v>
      </c>
      <c r="AF34" s="165">
        <f t="shared" si="31"/>
        <v>0.63264285714285784</v>
      </c>
      <c r="AG34" s="155">
        <f t="shared" si="32"/>
        <v>0.62691903726708098</v>
      </c>
      <c r="AH34" s="87">
        <f t="shared" si="10"/>
        <v>1</v>
      </c>
      <c r="AI34" s="156">
        <f t="shared" si="11"/>
        <v>0.62691903726708098</v>
      </c>
      <c r="AJ34" s="82">
        <f t="shared" si="12"/>
        <v>0.14419137857142864</v>
      </c>
      <c r="AK34" s="82">
        <f t="shared" si="13"/>
        <v>0.14419137857142864</v>
      </c>
      <c r="AL34" s="82">
        <f t="shared" si="33"/>
        <v>2.8123583601857822</v>
      </c>
      <c r="AM34" s="157">
        <f t="shared" si="0"/>
        <v>0.68973012422360336</v>
      </c>
      <c r="AN34" s="24">
        <f t="shared" si="1"/>
        <v>3.2779152453416187</v>
      </c>
      <c r="AO34" s="51"/>
      <c r="AP34" s="51">
        <f t="shared" si="14"/>
        <v>5.1791060876397577</v>
      </c>
      <c r="AQ34" s="51">
        <f t="shared" si="34"/>
        <v>131.54929462604983</v>
      </c>
      <c r="AR34" s="24">
        <f t="shared" si="15"/>
        <v>1.9162692524267102</v>
      </c>
      <c r="AS34" s="37">
        <f t="shared" si="16"/>
        <v>3.2628368352130472</v>
      </c>
      <c r="AT34" s="24">
        <f t="shared" si="35"/>
        <v>1.0987335339233979</v>
      </c>
      <c r="AU34" s="24">
        <f t="shared" si="17"/>
        <v>1.2429249124948265</v>
      </c>
      <c r="AV34" s="24">
        <f t="shared" si="18"/>
        <v>3.9361811751449309</v>
      </c>
      <c r="AW34" s="24">
        <f t="shared" si="19"/>
        <v>1</v>
      </c>
      <c r="AX34" s="24">
        <f t="shared" si="20"/>
        <v>0</v>
      </c>
      <c r="AY34" s="25">
        <f t="shared" si="36"/>
        <v>0</v>
      </c>
      <c r="AZ34" s="24">
        <f t="shared" si="21"/>
        <v>0</v>
      </c>
      <c r="BA34" s="48">
        <f t="shared" si="37"/>
        <v>0</v>
      </c>
      <c r="BB34" s="48">
        <f t="shared" si="38"/>
        <v>0</v>
      </c>
      <c r="BC34" s="24">
        <f t="shared" si="22"/>
        <v>0</v>
      </c>
      <c r="BD34" s="51">
        <f t="shared" si="39"/>
        <v>0</v>
      </c>
      <c r="BE34" s="86">
        <f t="shared" si="23"/>
        <v>1.5694334476909551</v>
      </c>
      <c r="BF34" s="30">
        <f t="shared" si="24"/>
        <v>0</v>
      </c>
      <c r="BG34" s="30">
        <f t="shared" si="40"/>
        <v>1.5694334476909551</v>
      </c>
    </row>
    <row r="35" spans="1:59" x14ac:dyDescent="0.25">
      <c r="A35" s="15">
        <v>42180</v>
      </c>
      <c r="B35">
        <v>0</v>
      </c>
      <c r="C35" s="54">
        <f t="shared" si="3"/>
        <v>0</v>
      </c>
      <c r="E35"/>
      <c r="G35" s="15"/>
      <c r="L35" s="78">
        <f t="shared" si="4"/>
        <v>0</v>
      </c>
      <c r="M35" s="64"/>
      <c r="N35" s="58">
        <v>42180</v>
      </c>
      <c r="O35" s="34">
        <f t="shared" si="5"/>
        <v>0</v>
      </c>
      <c r="P35" s="80">
        <f t="shared" si="6"/>
        <v>0</v>
      </c>
      <c r="Q35" s="80">
        <f t="shared" si="25"/>
        <v>0</v>
      </c>
      <c r="R35" s="79">
        <f t="shared" si="26"/>
        <v>6561.4973262032081</v>
      </c>
      <c r="S35" s="81">
        <f t="shared" si="7"/>
        <v>0.15063125174938494</v>
      </c>
      <c r="T35" s="80">
        <f t="shared" si="8"/>
        <v>0.72143344769095474</v>
      </c>
      <c r="U35" s="83">
        <f>LOOKUP(N35,'weather data'!$B$7:$B$158,'weather data'!$C$7:$C$158)</f>
        <v>0</v>
      </c>
      <c r="V35" s="83">
        <f t="shared" si="9"/>
        <v>0</v>
      </c>
      <c r="W35" s="83">
        <f t="shared" si="27"/>
        <v>0.84800000000000009</v>
      </c>
      <c r="X35" s="75">
        <f>LOOKUP(N35,'weather data'!$B$7:$B$158,'weather data'!$D$7:$D$158)</f>
        <v>0.23</v>
      </c>
      <c r="Y35" s="165">
        <f t="shared" si="41"/>
        <v>1.0043478260869569</v>
      </c>
      <c r="Z35" s="165">
        <f t="shared" si="28"/>
        <v>0.652826086956522</v>
      </c>
      <c r="AA35" s="165">
        <f t="shared" si="42"/>
        <v>0.90000000000000013</v>
      </c>
      <c r="AB35" s="165">
        <f t="shared" si="29"/>
        <v>0.58500000000000008</v>
      </c>
      <c r="AC35" s="165">
        <f t="shared" si="43"/>
        <v>0.92173913043478206</v>
      </c>
      <c r="AD35" s="165">
        <f t="shared" si="30"/>
        <v>0.64521739130434741</v>
      </c>
      <c r="AE35" s="165">
        <f t="shared" si="44"/>
        <v>0.75714285714285801</v>
      </c>
      <c r="AF35" s="165">
        <f t="shared" si="31"/>
        <v>0.64357142857142924</v>
      </c>
      <c r="AG35" s="155">
        <f t="shared" si="32"/>
        <v>0.63762267080745372</v>
      </c>
      <c r="AH35" s="87">
        <f t="shared" si="10"/>
        <v>1</v>
      </c>
      <c r="AI35" s="156">
        <f t="shared" si="11"/>
        <v>0.63762267080745372</v>
      </c>
      <c r="AJ35" s="82">
        <f t="shared" si="12"/>
        <v>0.14665321428571437</v>
      </c>
      <c r="AK35" s="82">
        <f t="shared" si="13"/>
        <v>0.14665321428571437</v>
      </c>
      <c r="AL35" s="82">
        <f t="shared" si="33"/>
        <v>2.9590115744714964</v>
      </c>
      <c r="AM35" s="157">
        <f t="shared" si="0"/>
        <v>0.72540890269151248</v>
      </c>
      <c r="AN35" s="24">
        <f t="shared" si="1"/>
        <v>3.4345450828157396</v>
      </c>
      <c r="AO35" s="51"/>
      <c r="AP35" s="51">
        <f t="shared" si="14"/>
        <v>5.4265812308488686</v>
      </c>
      <c r="AQ35" s="51">
        <f t="shared" si="34"/>
        <v>137.83516326356124</v>
      </c>
      <c r="AR35" s="24">
        <f t="shared" si="15"/>
        <v>2.0078350554140814</v>
      </c>
      <c r="AS35" s="37">
        <f t="shared" si="16"/>
        <v>3.4187461754347872</v>
      </c>
      <c r="AT35" s="24">
        <f t="shared" si="35"/>
        <v>1.2429249124948265</v>
      </c>
      <c r="AU35" s="24">
        <f t="shared" si="17"/>
        <v>1.3895781267805409</v>
      </c>
      <c r="AV35" s="24">
        <f t="shared" si="18"/>
        <v>4.0370031040683276</v>
      </c>
      <c r="AW35" s="24">
        <f t="shared" si="19"/>
        <v>1</v>
      </c>
      <c r="AX35" s="24">
        <f t="shared" si="20"/>
        <v>0</v>
      </c>
      <c r="AY35" s="25">
        <f t="shared" si="36"/>
        <v>0</v>
      </c>
      <c r="AZ35" s="24">
        <f t="shared" si="21"/>
        <v>0</v>
      </c>
      <c r="BA35" s="48">
        <f t="shared" si="37"/>
        <v>0</v>
      </c>
      <c r="BB35" s="48">
        <f t="shared" si="38"/>
        <v>0</v>
      </c>
      <c r="BC35" s="24">
        <f t="shared" si="22"/>
        <v>0</v>
      </c>
      <c r="BD35" s="51">
        <f t="shared" si="39"/>
        <v>0</v>
      </c>
      <c r="BE35" s="86">
        <f t="shared" si="23"/>
        <v>1.5694334476909551</v>
      </c>
      <c r="BF35" s="30">
        <f t="shared" si="24"/>
        <v>0</v>
      </c>
      <c r="BG35" s="30">
        <f t="shared" si="40"/>
        <v>1.5694334476909551</v>
      </c>
    </row>
    <row r="36" spans="1:59" x14ac:dyDescent="0.25">
      <c r="A36" s="15">
        <v>42181</v>
      </c>
      <c r="B36">
        <v>0</v>
      </c>
      <c r="C36" s="54">
        <f t="shared" si="3"/>
        <v>0</v>
      </c>
      <c r="E36"/>
      <c r="G36" s="15"/>
      <c r="L36" s="78">
        <f t="shared" si="4"/>
        <v>0</v>
      </c>
      <c r="M36" s="64"/>
      <c r="N36" s="58">
        <v>42181</v>
      </c>
      <c r="O36" s="34">
        <f t="shared" si="5"/>
        <v>0</v>
      </c>
      <c r="P36" s="80">
        <f t="shared" si="6"/>
        <v>0</v>
      </c>
      <c r="Q36" s="80">
        <f t="shared" si="25"/>
        <v>0</v>
      </c>
      <c r="R36" s="79">
        <f t="shared" si="26"/>
        <v>6561.4973262032081</v>
      </c>
      <c r="S36" s="81">
        <f t="shared" si="7"/>
        <v>0.15063125174938494</v>
      </c>
      <c r="T36" s="80">
        <f t="shared" si="8"/>
        <v>0.72143344769095474</v>
      </c>
      <c r="U36" s="83">
        <f>LOOKUP(N36,'weather data'!$B$7:$B$158,'weather data'!$C$7:$C$158)</f>
        <v>0</v>
      </c>
      <c r="V36" s="83">
        <f t="shared" si="9"/>
        <v>0</v>
      </c>
      <c r="W36" s="83">
        <f t="shared" si="27"/>
        <v>0.84800000000000009</v>
      </c>
      <c r="X36" s="75">
        <f>LOOKUP(N36,'weather data'!$B$7:$B$158,'weather data'!$D$7:$D$158)</f>
        <v>0.24</v>
      </c>
      <c r="Y36" s="165">
        <f t="shared" si="41"/>
        <v>1.0195652173913048</v>
      </c>
      <c r="Z36" s="165">
        <f t="shared" si="28"/>
        <v>0.66271739130434815</v>
      </c>
      <c r="AA36" s="165">
        <f t="shared" si="42"/>
        <v>0.91000000000000014</v>
      </c>
      <c r="AB36" s="165">
        <f t="shared" si="29"/>
        <v>0.59150000000000014</v>
      </c>
      <c r="AC36" s="165">
        <f t="shared" si="43"/>
        <v>0.94782608695652115</v>
      </c>
      <c r="AD36" s="165">
        <f t="shared" si="30"/>
        <v>0.66347826086956474</v>
      </c>
      <c r="AE36" s="165">
        <f t="shared" si="44"/>
        <v>0.77000000000000091</v>
      </c>
      <c r="AF36" s="165">
        <f t="shared" si="31"/>
        <v>0.65450000000000075</v>
      </c>
      <c r="AG36" s="155">
        <f t="shared" si="32"/>
        <v>0.64832630434782634</v>
      </c>
      <c r="AH36" s="87">
        <f t="shared" si="10"/>
        <v>1</v>
      </c>
      <c r="AI36" s="156">
        <f t="shared" si="11"/>
        <v>0.64832630434782634</v>
      </c>
      <c r="AJ36" s="82">
        <f t="shared" si="12"/>
        <v>0.15559831304347832</v>
      </c>
      <c r="AK36" s="82">
        <f t="shared" si="13"/>
        <v>0.15559831304347832</v>
      </c>
      <c r="AL36" s="82">
        <f t="shared" si="33"/>
        <v>3.1146098875149746</v>
      </c>
      <c r="AM36" s="157">
        <f t="shared" si="0"/>
        <v>0.76108768115942127</v>
      </c>
      <c r="AN36" s="24">
        <f t="shared" si="1"/>
        <v>3.5911749202898591</v>
      </c>
      <c r="AO36" s="51"/>
      <c r="AP36" s="51">
        <f t="shared" si="14"/>
        <v>5.6740563740579777</v>
      </c>
      <c r="AQ36" s="51">
        <f t="shared" si="34"/>
        <v>144.12103190107263</v>
      </c>
      <c r="AR36" s="24">
        <f t="shared" si="15"/>
        <v>2.0994008584014519</v>
      </c>
      <c r="AS36" s="37">
        <f t="shared" si="16"/>
        <v>3.5746555156565258</v>
      </c>
      <c r="AT36" s="24">
        <f t="shared" si="35"/>
        <v>1.3895781267805409</v>
      </c>
      <c r="AU36" s="24">
        <f t="shared" si="17"/>
        <v>1.5451764398240193</v>
      </c>
      <c r="AV36" s="24">
        <f t="shared" si="18"/>
        <v>4.1288799342339582</v>
      </c>
      <c r="AW36" s="24">
        <f t="shared" si="19"/>
        <v>1</v>
      </c>
      <c r="AX36" s="24">
        <f t="shared" si="20"/>
        <v>0</v>
      </c>
      <c r="AY36" s="25">
        <f t="shared" si="36"/>
        <v>0</v>
      </c>
      <c r="AZ36" s="24">
        <f t="shared" si="21"/>
        <v>0</v>
      </c>
      <c r="BA36" s="48">
        <f t="shared" si="37"/>
        <v>0</v>
      </c>
      <c r="BB36" s="48">
        <f t="shared" si="38"/>
        <v>0</v>
      </c>
      <c r="BC36" s="24">
        <f t="shared" si="22"/>
        <v>0</v>
      </c>
      <c r="BD36" s="51">
        <f t="shared" si="39"/>
        <v>0</v>
      </c>
      <c r="BE36" s="86">
        <f t="shared" si="23"/>
        <v>1.5694334476909551</v>
      </c>
      <c r="BF36" s="30">
        <f t="shared" si="24"/>
        <v>0</v>
      </c>
      <c r="BG36" s="30">
        <f t="shared" si="40"/>
        <v>1.5694334476909551</v>
      </c>
    </row>
    <row r="37" spans="1:59" x14ac:dyDescent="0.25">
      <c r="A37" s="15">
        <v>42182</v>
      </c>
      <c r="B37">
        <v>0</v>
      </c>
      <c r="C37" s="54">
        <f t="shared" si="3"/>
        <v>0</v>
      </c>
      <c r="E37"/>
      <c r="G37" s="15"/>
      <c r="L37" s="78">
        <f t="shared" si="4"/>
        <v>0</v>
      </c>
      <c r="M37" s="64"/>
      <c r="N37" s="58">
        <v>42182</v>
      </c>
      <c r="O37" s="34">
        <f t="shared" si="5"/>
        <v>0</v>
      </c>
      <c r="P37" s="80">
        <f t="shared" si="6"/>
        <v>0</v>
      </c>
      <c r="Q37" s="80">
        <f t="shared" si="25"/>
        <v>0</v>
      </c>
      <c r="R37" s="79">
        <f t="shared" si="26"/>
        <v>6561.4973262032081</v>
      </c>
      <c r="S37" s="81">
        <f t="shared" si="7"/>
        <v>0.15063125174938494</v>
      </c>
      <c r="T37" s="80">
        <f t="shared" si="8"/>
        <v>0.72143344769095474</v>
      </c>
      <c r="U37" s="83">
        <f>LOOKUP(N37,'weather data'!$B$7:$B$158,'weather data'!$C$7:$C$158)</f>
        <v>0</v>
      </c>
      <c r="V37" s="83">
        <f t="shared" si="9"/>
        <v>0</v>
      </c>
      <c r="W37" s="83">
        <f t="shared" si="27"/>
        <v>0.84800000000000009</v>
      </c>
      <c r="X37" s="75">
        <f>LOOKUP(N37,'weather data'!$B$7:$B$158,'weather data'!$D$7:$D$158)</f>
        <v>0.23</v>
      </c>
      <c r="Y37" s="165">
        <f t="shared" si="41"/>
        <v>1.0347826086956526</v>
      </c>
      <c r="Z37" s="165">
        <f t="shared" si="28"/>
        <v>0.67260869565217429</v>
      </c>
      <c r="AA37" s="165">
        <f t="shared" si="42"/>
        <v>0.92000000000000015</v>
      </c>
      <c r="AB37" s="165">
        <f t="shared" si="29"/>
        <v>0.59800000000000009</v>
      </c>
      <c r="AC37" s="165">
        <f t="shared" si="43"/>
        <v>0.97391304347826024</v>
      </c>
      <c r="AD37" s="165">
        <f t="shared" si="30"/>
        <v>0.68173913043478218</v>
      </c>
      <c r="AE37" s="165">
        <f t="shared" si="44"/>
        <v>0.78285714285714381</v>
      </c>
      <c r="AF37" s="165">
        <f t="shared" si="31"/>
        <v>0.66542857142857226</v>
      </c>
      <c r="AG37" s="155">
        <f t="shared" si="32"/>
        <v>0.65902993788819908</v>
      </c>
      <c r="AH37" s="87">
        <f t="shared" si="10"/>
        <v>1</v>
      </c>
      <c r="AI37" s="156">
        <f t="shared" si="11"/>
        <v>0.65902993788819908</v>
      </c>
      <c r="AJ37" s="82">
        <f t="shared" si="12"/>
        <v>0.15157688571428579</v>
      </c>
      <c r="AK37" s="82">
        <f t="shared" si="13"/>
        <v>0.15157688571428579</v>
      </c>
      <c r="AL37" s="82">
        <f t="shared" si="33"/>
        <v>3.2661867732292604</v>
      </c>
      <c r="AM37" s="157">
        <f t="shared" si="0"/>
        <v>0.79676645962733039</v>
      </c>
      <c r="AN37" s="24">
        <f t="shared" si="1"/>
        <v>3.7478047577639804</v>
      </c>
      <c r="AO37" s="51"/>
      <c r="AP37" s="51">
        <f t="shared" si="14"/>
        <v>5.9215315172670895</v>
      </c>
      <c r="AQ37" s="51">
        <f t="shared" si="34"/>
        <v>150.40690053858407</v>
      </c>
      <c r="AR37" s="24">
        <f t="shared" si="15"/>
        <v>2.1909666613888232</v>
      </c>
      <c r="AS37" s="37">
        <f t="shared" si="16"/>
        <v>3.7305648558782663</v>
      </c>
      <c r="AT37" s="24">
        <f t="shared" si="35"/>
        <v>1.5451764398240193</v>
      </c>
      <c r="AU37" s="24">
        <f t="shared" si="17"/>
        <v>1.6967533255383052</v>
      </c>
      <c r="AV37" s="24">
        <f t="shared" si="18"/>
        <v>4.2247781917287845</v>
      </c>
      <c r="AW37" s="24">
        <f t="shared" si="19"/>
        <v>1</v>
      </c>
      <c r="AX37" s="24">
        <f t="shared" si="20"/>
        <v>0</v>
      </c>
      <c r="AY37" s="25">
        <f t="shared" si="36"/>
        <v>0</v>
      </c>
      <c r="AZ37" s="24">
        <f t="shared" si="21"/>
        <v>0</v>
      </c>
      <c r="BA37" s="48">
        <f t="shared" si="37"/>
        <v>0</v>
      </c>
      <c r="BB37" s="48">
        <f t="shared" si="38"/>
        <v>0</v>
      </c>
      <c r="BC37" s="24">
        <f t="shared" si="22"/>
        <v>0</v>
      </c>
      <c r="BD37" s="51">
        <f t="shared" si="39"/>
        <v>0</v>
      </c>
      <c r="BE37" s="86">
        <f t="shared" si="23"/>
        <v>1.5694334476909551</v>
      </c>
      <c r="BF37" s="30">
        <f t="shared" si="24"/>
        <v>0</v>
      </c>
      <c r="BG37" s="30">
        <f t="shared" si="40"/>
        <v>1.5694334476909551</v>
      </c>
    </row>
    <row r="38" spans="1:59" x14ac:dyDescent="0.25">
      <c r="A38" s="15">
        <v>42183</v>
      </c>
      <c r="B38">
        <v>0</v>
      </c>
      <c r="C38" s="54">
        <f t="shared" si="3"/>
        <v>0</v>
      </c>
      <c r="E38"/>
      <c r="G38" s="15"/>
      <c r="L38" s="78">
        <f t="shared" si="4"/>
        <v>0</v>
      </c>
      <c r="M38" s="64"/>
      <c r="N38" s="58">
        <v>42183</v>
      </c>
      <c r="O38" s="34">
        <f t="shared" si="5"/>
        <v>0</v>
      </c>
      <c r="P38" s="80">
        <f t="shared" si="6"/>
        <v>0</v>
      </c>
      <c r="Q38" s="80">
        <f t="shared" si="25"/>
        <v>0</v>
      </c>
      <c r="R38" s="79">
        <f t="shared" si="26"/>
        <v>6561.4973262032081</v>
      </c>
      <c r="S38" s="81">
        <f t="shared" si="7"/>
        <v>0.15063125174938494</v>
      </c>
      <c r="T38" s="80">
        <f t="shared" si="8"/>
        <v>0.72143344769095474</v>
      </c>
      <c r="U38" s="83">
        <f>LOOKUP(N38,'weather data'!$B$7:$B$158,'weather data'!$C$7:$C$158)</f>
        <v>0</v>
      </c>
      <c r="V38" s="83">
        <f t="shared" si="9"/>
        <v>0</v>
      </c>
      <c r="W38" s="83">
        <f t="shared" si="27"/>
        <v>0.84800000000000009</v>
      </c>
      <c r="X38" s="75">
        <f>LOOKUP(N38,'weather data'!$B$7:$B$158,'weather data'!$D$7:$D$158)</f>
        <v>0.25</v>
      </c>
      <c r="Y38" s="165">
        <f t="shared" si="41"/>
        <v>1.0500000000000005</v>
      </c>
      <c r="Z38" s="165">
        <f t="shared" si="28"/>
        <v>0.68250000000000033</v>
      </c>
      <c r="AA38" s="165">
        <f t="shared" si="42"/>
        <v>0.93000000000000016</v>
      </c>
      <c r="AB38" s="165">
        <f t="shared" si="29"/>
        <v>0.60450000000000015</v>
      </c>
      <c r="AC38" s="165">
        <f t="shared" si="43"/>
        <v>0.99999999999999933</v>
      </c>
      <c r="AD38" s="165">
        <f t="shared" si="30"/>
        <v>0.69999999999999951</v>
      </c>
      <c r="AE38" s="165">
        <f t="shared" si="44"/>
        <v>0.79571428571428671</v>
      </c>
      <c r="AF38" s="165">
        <f t="shared" si="31"/>
        <v>0.67635714285714366</v>
      </c>
      <c r="AG38" s="155">
        <f t="shared" si="32"/>
        <v>0.66973357142857171</v>
      </c>
      <c r="AH38" s="87">
        <f t="shared" si="10"/>
        <v>1</v>
      </c>
      <c r="AI38" s="156">
        <f t="shared" si="11"/>
        <v>0.66973357142857171</v>
      </c>
      <c r="AJ38" s="82">
        <f t="shared" si="12"/>
        <v>0.16743339285714293</v>
      </c>
      <c r="AK38" s="82">
        <f t="shared" si="13"/>
        <v>0.16743339285714293</v>
      </c>
      <c r="AL38" s="82">
        <f t="shared" si="33"/>
        <v>3.4336201660864032</v>
      </c>
      <c r="AM38" s="157">
        <f t="shared" si="0"/>
        <v>0.83244523809523907</v>
      </c>
      <c r="AN38" s="24">
        <f t="shared" si="1"/>
        <v>3.9044345952380994</v>
      </c>
      <c r="AO38" s="51"/>
      <c r="AP38" s="51">
        <f t="shared" si="14"/>
        <v>6.1690066604761977</v>
      </c>
      <c r="AQ38" s="51">
        <f t="shared" si="34"/>
        <v>156.69276917609542</v>
      </c>
      <c r="AR38" s="24">
        <f t="shared" si="15"/>
        <v>2.2825324643761933</v>
      </c>
      <c r="AS38" s="37">
        <f t="shared" si="16"/>
        <v>3.8864741961000044</v>
      </c>
      <c r="AT38" s="24">
        <f t="shared" si="35"/>
        <v>1.6967533255383052</v>
      </c>
      <c r="AU38" s="24">
        <f t="shared" si="17"/>
        <v>1.8641867183954481</v>
      </c>
      <c r="AV38" s="24">
        <f t="shared" si="18"/>
        <v>4.3048199420807496</v>
      </c>
      <c r="AW38" s="24">
        <f t="shared" si="19"/>
        <v>1</v>
      </c>
      <c r="AX38" s="24">
        <f t="shared" si="20"/>
        <v>0</v>
      </c>
      <c r="AY38" s="25">
        <f t="shared" si="36"/>
        <v>0</v>
      </c>
      <c r="AZ38" s="24">
        <f t="shared" si="21"/>
        <v>0</v>
      </c>
      <c r="BA38" s="48">
        <f t="shared" si="37"/>
        <v>0</v>
      </c>
      <c r="BB38" s="48">
        <f t="shared" si="38"/>
        <v>0</v>
      </c>
      <c r="BC38" s="24">
        <f t="shared" si="22"/>
        <v>0</v>
      </c>
      <c r="BD38" s="51">
        <f t="shared" si="39"/>
        <v>0</v>
      </c>
      <c r="BE38" s="86">
        <f t="shared" si="23"/>
        <v>1.5694334476909551</v>
      </c>
      <c r="BF38" s="30">
        <f t="shared" si="24"/>
        <v>0</v>
      </c>
      <c r="BG38" s="30">
        <f t="shared" si="40"/>
        <v>1.5694334476909551</v>
      </c>
    </row>
    <row r="39" spans="1:59" x14ac:dyDescent="0.25">
      <c r="A39" s="15">
        <v>42184</v>
      </c>
      <c r="B39">
        <v>10440</v>
      </c>
      <c r="C39" s="54">
        <f t="shared" si="3"/>
        <v>1395.7219251336899</v>
      </c>
      <c r="E39"/>
      <c r="G39" s="15"/>
      <c r="L39" s="78">
        <f t="shared" si="4"/>
        <v>1395.7219251336899</v>
      </c>
      <c r="M39" s="64"/>
      <c r="N39" s="58">
        <v>42184</v>
      </c>
      <c r="O39" s="34">
        <f t="shared" si="5"/>
        <v>1395.7219251336899</v>
      </c>
      <c r="P39" s="80">
        <f t="shared" si="6"/>
        <v>0.1534589485308388</v>
      </c>
      <c r="Q39" s="80">
        <f t="shared" si="25"/>
        <v>3.8978572926833053</v>
      </c>
      <c r="R39" s="79">
        <f t="shared" si="26"/>
        <v>7957.2192513368982</v>
      </c>
      <c r="S39" s="81">
        <f t="shared" si="7"/>
        <v>0.18267261825842282</v>
      </c>
      <c r="T39" s="80">
        <f t="shared" si="8"/>
        <v>0.8748923962217936</v>
      </c>
      <c r="U39" s="83">
        <f>LOOKUP(N39,'weather data'!$B$7:$B$158,'weather data'!$C$7:$C$158)</f>
        <v>0</v>
      </c>
      <c r="V39" s="83">
        <f t="shared" si="9"/>
        <v>0</v>
      </c>
      <c r="W39" s="83">
        <f t="shared" si="27"/>
        <v>0.84800000000000009</v>
      </c>
      <c r="X39" s="75">
        <f>LOOKUP(N39,'weather data'!$B$7:$B$158,'weather data'!$D$7:$D$158)</f>
        <v>0.27</v>
      </c>
      <c r="Y39" s="165">
        <v>1.05</v>
      </c>
      <c r="Z39" s="165">
        <f t="shared" si="28"/>
        <v>0.68250000000000011</v>
      </c>
      <c r="AA39" s="165">
        <f t="shared" si="42"/>
        <v>0.94000000000000017</v>
      </c>
      <c r="AB39" s="165">
        <f t="shared" si="29"/>
        <v>0.6110000000000001</v>
      </c>
      <c r="AC39" s="165">
        <v>1</v>
      </c>
      <c r="AD39" s="165">
        <f t="shared" si="30"/>
        <v>0.7</v>
      </c>
      <c r="AE39" s="165">
        <f t="shared" si="44"/>
        <v>0.80857142857142961</v>
      </c>
      <c r="AF39" s="165">
        <f t="shared" si="31"/>
        <v>0.68728571428571517</v>
      </c>
      <c r="AG39" s="155">
        <f t="shared" si="32"/>
        <v>0.67400785714285749</v>
      </c>
      <c r="AH39" s="87">
        <f t="shared" si="10"/>
        <v>1</v>
      </c>
      <c r="AI39" s="156">
        <f t="shared" si="11"/>
        <v>0.67400785714285749</v>
      </c>
      <c r="AJ39" s="82">
        <f t="shared" si="12"/>
        <v>0.18198212142857154</v>
      </c>
      <c r="AK39" s="82">
        <f t="shared" si="13"/>
        <v>0.18198212142857154</v>
      </c>
      <c r="AL39" s="82">
        <f t="shared" si="33"/>
        <v>3.6156022875149749</v>
      </c>
      <c r="AM39" s="157">
        <f t="shared" si="0"/>
        <v>0.84669285714285836</v>
      </c>
      <c r="AN39" s="24">
        <f t="shared" si="1"/>
        <v>3.966981642857148</v>
      </c>
      <c r="AO39" s="51"/>
      <c r="AP39" s="51">
        <f t="shared" si="14"/>
        <v>6.2678309957142941</v>
      </c>
      <c r="AQ39" s="51">
        <f t="shared" si="34"/>
        <v>159.20290729114305</v>
      </c>
      <c r="AR39" s="24">
        <f t="shared" si="15"/>
        <v>2.3190974684142889</v>
      </c>
      <c r="AS39" s="37">
        <f t="shared" si="16"/>
        <v>3.9487335273000053</v>
      </c>
      <c r="AT39" s="24">
        <f t="shared" si="35"/>
        <v>1.8641867183954481</v>
      </c>
      <c r="AU39" s="24">
        <f t="shared" si="17"/>
        <v>1.892709891293181</v>
      </c>
      <c r="AV39" s="24">
        <f t="shared" si="18"/>
        <v>4.3751211044211136</v>
      </c>
      <c r="AW39" s="24">
        <f t="shared" si="19"/>
        <v>1</v>
      </c>
      <c r="AX39" s="24">
        <f t="shared" si="20"/>
        <v>0</v>
      </c>
      <c r="AY39" s="25">
        <f t="shared" si="36"/>
        <v>0</v>
      </c>
      <c r="AZ39" s="24">
        <f t="shared" si="21"/>
        <v>0</v>
      </c>
      <c r="BA39" s="48">
        <f t="shared" si="37"/>
        <v>0</v>
      </c>
      <c r="BB39" s="48">
        <f t="shared" si="38"/>
        <v>0</v>
      </c>
      <c r="BC39" s="24">
        <f t="shared" si="22"/>
        <v>0</v>
      </c>
      <c r="BD39" s="51">
        <f t="shared" si="39"/>
        <v>0</v>
      </c>
      <c r="BE39" s="86">
        <f t="shared" si="23"/>
        <v>1.7228923962217939</v>
      </c>
      <c r="BF39" s="30">
        <f t="shared" si="24"/>
        <v>0.1534589485308388</v>
      </c>
      <c r="BG39" s="30">
        <f t="shared" si="40"/>
        <v>1.7228923962217939</v>
      </c>
    </row>
    <row r="40" spans="1:59" x14ac:dyDescent="0.25">
      <c r="A40" s="15">
        <v>42185</v>
      </c>
      <c r="B40">
        <v>810</v>
      </c>
      <c r="C40" s="54">
        <f t="shared" si="3"/>
        <v>108.28877005347593</v>
      </c>
      <c r="E40"/>
      <c r="G40" s="15"/>
      <c r="L40" s="78">
        <f t="shared" si="4"/>
        <v>108.28877005347593</v>
      </c>
      <c r="M40" s="64"/>
      <c r="N40" s="58">
        <v>42185</v>
      </c>
      <c r="O40" s="34">
        <f t="shared" si="5"/>
        <v>108.28877005347593</v>
      </c>
      <c r="P40" s="80">
        <f t="shared" si="6"/>
        <v>1.1906297730840941E-2</v>
      </c>
      <c r="Q40" s="80">
        <f t="shared" si="25"/>
        <v>0.30241996236335988</v>
      </c>
      <c r="R40" s="79">
        <f t="shared" si="26"/>
        <v>8065.5080213903739</v>
      </c>
      <c r="S40" s="81">
        <f t="shared" si="7"/>
        <v>0.18515858634964127</v>
      </c>
      <c r="T40" s="80">
        <f t="shared" si="8"/>
        <v>0.88679869395263466</v>
      </c>
      <c r="U40" s="83">
        <f>LOOKUP(N40,'weather data'!$B$7:$B$158,'weather data'!$C$7:$C$158)</f>
        <v>0</v>
      </c>
      <c r="V40" s="83">
        <f t="shared" si="9"/>
        <v>0</v>
      </c>
      <c r="W40" s="83">
        <f t="shared" si="27"/>
        <v>0.84800000000000009</v>
      </c>
      <c r="X40" s="75">
        <f>LOOKUP(N40,'weather data'!$B$7:$B$158,'weather data'!$D$7:$D$158)</f>
        <v>0.24</v>
      </c>
      <c r="Y40" s="165">
        <v>1.05</v>
      </c>
      <c r="Z40" s="165">
        <f t="shared" si="28"/>
        <v>0.68250000000000011</v>
      </c>
      <c r="AA40" s="165">
        <f t="shared" si="42"/>
        <v>0.95000000000000018</v>
      </c>
      <c r="AB40" s="165">
        <f t="shared" si="29"/>
        <v>0.61750000000000016</v>
      </c>
      <c r="AC40" s="165">
        <v>1</v>
      </c>
      <c r="AD40" s="165">
        <f t="shared" si="30"/>
        <v>0.7</v>
      </c>
      <c r="AE40" s="165">
        <f t="shared" si="44"/>
        <v>0.82142857142857251</v>
      </c>
      <c r="AF40" s="165">
        <f t="shared" si="31"/>
        <v>0.69821428571428656</v>
      </c>
      <c r="AG40" s="155">
        <f t="shared" si="32"/>
        <v>0.67828214285714317</v>
      </c>
      <c r="AH40" s="87">
        <f t="shared" si="10"/>
        <v>1</v>
      </c>
      <c r="AI40" s="156">
        <f t="shared" si="11"/>
        <v>0.67828214285714317</v>
      </c>
      <c r="AJ40" s="82">
        <f t="shared" si="12"/>
        <v>0.16278771428571434</v>
      </c>
      <c r="AK40" s="82">
        <f t="shared" si="13"/>
        <v>0.16278771428571434</v>
      </c>
      <c r="AL40" s="82">
        <f t="shared" si="33"/>
        <v>3.7783900018006893</v>
      </c>
      <c r="AM40" s="157">
        <f t="shared" si="0"/>
        <v>0.86094047619047731</v>
      </c>
      <c r="AN40" s="24">
        <f t="shared" si="1"/>
        <v>4.0295286904761953</v>
      </c>
      <c r="AO40" s="51"/>
      <c r="AP40" s="51">
        <f t="shared" si="14"/>
        <v>6.3666553309523888</v>
      </c>
      <c r="AQ40" s="51">
        <f t="shared" si="34"/>
        <v>161.71304540619067</v>
      </c>
      <c r="AR40" s="24">
        <f t="shared" si="15"/>
        <v>2.355662472452384</v>
      </c>
      <c r="AS40" s="37">
        <f t="shared" si="16"/>
        <v>4.0109928585000052</v>
      </c>
      <c r="AT40" s="24">
        <f t="shared" si="35"/>
        <v>1.892709891293181</v>
      </c>
      <c r="AU40" s="24">
        <f t="shared" si="17"/>
        <v>2.0435913078480543</v>
      </c>
      <c r="AV40" s="24">
        <f t="shared" si="18"/>
        <v>4.3230640231043349</v>
      </c>
      <c r="AW40" s="24">
        <f t="shared" si="19"/>
        <v>1</v>
      </c>
      <c r="AX40" s="24">
        <f t="shared" si="20"/>
        <v>0</v>
      </c>
      <c r="AY40" s="25">
        <f t="shared" si="36"/>
        <v>0</v>
      </c>
      <c r="AZ40" s="24">
        <f t="shared" si="21"/>
        <v>0</v>
      </c>
      <c r="BA40" s="48">
        <f t="shared" si="37"/>
        <v>0</v>
      </c>
      <c r="BB40" s="48">
        <f t="shared" si="38"/>
        <v>0</v>
      </c>
      <c r="BC40" s="24">
        <f t="shared" si="22"/>
        <v>0</v>
      </c>
      <c r="BD40" s="51">
        <f t="shared" si="39"/>
        <v>0</v>
      </c>
      <c r="BE40" s="86">
        <f t="shared" si="23"/>
        <v>1.7347986939526348</v>
      </c>
      <c r="BF40" s="30">
        <f t="shared" si="24"/>
        <v>1.1906297730840941E-2</v>
      </c>
      <c r="BG40" s="30">
        <f t="shared" si="40"/>
        <v>1.7347986939526348</v>
      </c>
    </row>
    <row r="41" spans="1:59" x14ac:dyDescent="0.25">
      <c r="A41" s="15">
        <v>42186</v>
      </c>
      <c r="B41">
        <v>16350</v>
      </c>
      <c r="C41" s="54">
        <f t="shared" si="3"/>
        <v>2185.8288770053473</v>
      </c>
      <c r="E41"/>
      <c r="G41" s="15"/>
      <c r="L41" s="78">
        <f t="shared" si="4"/>
        <v>2185.8288770053473</v>
      </c>
      <c r="M41" s="64"/>
      <c r="N41" s="58">
        <v>42186</v>
      </c>
      <c r="O41" s="34">
        <f t="shared" si="5"/>
        <v>2185.8288770053473</v>
      </c>
      <c r="P41" s="80">
        <f t="shared" si="6"/>
        <v>0.24033082456697452</v>
      </c>
      <c r="Q41" s="80">
        <f t="shared" si="25"/>
        <v>6.1044029440011522</v>
      </c>
      <c r="R41" s="79">
        <f t="shared" si="26"/>
        <v>10251.336898395721</v>
      </c>
      <c r="S41" s="81">
        <f t="shared" si="7"/>
        <v>0.23533831263534713</v>
      </c>
      <c r="T41" s="80">
        <f t="shared" si="8"/>
        <v>1.1271295185196091</v>
      </c>
      <c r="U41" s="83">
        <f>LOOKUP(N41,'weather data'!$B$7:$B$158,'weather data'!$C$7:$C$158)</f>
        <v>0</v>
      </c>
      <c r="V41" s="83">
        <f t="shared" si="9"/>
        <v>0</v>
      </c>
      <c r="W41" s="83">
        <f t="shared" si="27"/>
        <v>0.84800000000000009</v>
      </c>
      <c r="X41" s="75">
        <f>LOOKUP(N41,'weather data'!$B$7:$B$158,'weather data'!$D$7:$D$158)</f>
        <v>0.25</v>
      </c>
      <c r="Y41" s="165">
        <v>1.05</v>
      </c>
      <c r="Z41" s="165">
        <f t="shared" si="28"/>
        <v>0.68250000000000011</v>
      </c>
      <c r="AA41" s="165">
        <f t="shared" si="42"/>
        <v>0.96000000000000019</v>
      </c>
      <c r="AB41" s="165">
        <f t="shared" si="29"/>
        <v>0.62400000000000011</v>
      </c>
      <c r="AC41" s="165">
        <v>1</v>
      </c>
      <c r="AD41" s="165">
        <f t="shared" si="30"/>
        <v>0.7</v>
      </c>
      <c r="AE41" s="165">
        <f t="shared" si="44"/>
        <v>0.83428571428571541</v>
      </c>
      <c r="AF41" s="165">
        <f t="shared" si="31"/>
        <v>0.70914285714285807</v>
      </c>
      <c r="AG41" s="155">
        <f t="shared" si="32"/>
        <v>0.68255642857142884</v>
      </c>
      <c r="AH41" s="87">
        <f t="shared" si="10"/>
        <v>1</v>
      </c>
      <c r="AI41" s="156">
        <f t="shared" si="11"/>
        <v>0.68255642857142884</v>
      </c>
      <c r="AJ41" s="82">
        <f t="shared" si="12"/>
        <v>0.17063910714285721</v>
      </c>
      <c r="AK41" s="82">
        <f t="shared" si="13"/>
        <v>0.17063910714285721</v>
      </c>
      <c r="AL41" s="82">
        <f t="shared" si="33"/>
        <v>3.9490291089435465</v>
      </c>
      <c r="AM41" s="157">
        <f t="shared" si="0"/>
        <v>0.87518809523809626</v>
      </c>
      <c r="AN41" s="24">
        <f t="shared" si="1"/>
        <v>4.0920757380952422</v>
      </c>
      <c r="AO41" s="51"/>
      <c r="AP41" s="51">
        <f t="shared" si="14"/>
        <v>6.4654796661904825</v>
      </c>
      <c r="AQ41" s="51">
        <f t="shared" si="34"/>
        <v>164.22318352123824</v>
      </c>
      <c r="AR41" s="24">
        <f t="shared" si="15"/>
        <v>2.3922274764904783</v>
      </c>
      <c r="AS41" s="37">
        <f t="shared" si="16"/>
        <v>4.0732521897000042</v>
      </c>
      <c r="AT41" s="24">
        <f t="shared" si="35"/>
        <v>2.0435913078480543</v>
      </c>
      <c r="AU41" s="24">
        <f t="shared" si="17"/>
        <v>1.9738995904239371</v>
      </c>
      <c r="AV41" s="24">
        <f t="shared" si="18"/>
        <v>4.4915800757665458</v>
      </c>
      <c r="AW41" s="24">
        <f t="shared" si="19"/>
        <v>1</v>
      </c>
      <c r="AX41" s="24">
        <f t="shared" si="20"/>
        <v>0</v>
      </c>
      <c r="AY41" s="25">
        <f t="shared" si="36"/>
        <v>0</v>
      </c>
      <c r="AZ41" s="24">
        <f t="shared" si="21"/>
        <v>0</v>
      </c>
      <c r="BA41" s="48">
        <f t="shared" si="37"/>
        <v>0</v>
      </c>
      <c r="BB41" s="48">
        <f t="shared" si="38"/>
        <v>0</v>
      </c>
      <c r="BC41" s="24">
        <f t="shared" si="22"/>
        <v>0</v>
      </c>
      <c r="BD41" s="51">
        <f t="shared" si="39"/>
        <v>0</v>
      </c>
      <c r="BE41" s="86">
        <f t="shared" si="23"/>
        <v>1.9751295185196094</v>
      </c>
      <c r="BF41" s="30">
        <f t="shared" si="24"/>
        <v>0.24033082456697452</v>
      </c>
      <c r="BG41" s="30">
        <f t="shared" si="40"/>
        <v>1.9751295185196094</v>
      </c>
    </row>
    <row r="42" spans="1:59" x14ac:dyDescent="0.25">
      <c r="A42" s="15">
        <v>42187</v>
      </c>
      <c r="B42">
        <v>0</v>
      </c>
      <c r="C42" s="54">
        <f t="shared" si="3"/>
        <v>0</v>
      </c>
      <c r="E42"/>
      <c r="G42" s="15"/>
      <c r="L42" s="78">
        <f t="shared" si="4"/>
        <v>0</v>
      </c>
      <c r="M42" s="64"/>
      <c r="N42" s="58">
        <v>42187</v>
      </c>
      <c r="O42" s="34">
        <f t="shared" si="5"/>
        <v>0</v>
      </c>
      <c r="P42" s="80">
        <f t="shared" si="6"/>
        <v>0</v>
      </c>
      <c r="Q42" s="80">
        <f t="shared" si="25"/>
        <v>0</v>
      </c>
      <c r="R42" s="79">
        <f t="shared" si="26"/>
        <v>10251.336898395721</v>
      </c>
      <c r="S42" s="81">
        <f t="shared" si="7"/>
        <v>0.23533831263534713</v>
      </c>
      <c r="T42" s="80">
        <f t="shared" si="8"/>
        <v>1.1271295185196091</v>
      </c>
      <c r="U42" s="83">
        <f>LOOKUP(N42,'weather data'!$B$7:$B$158,'weather data'!$C$7:$C$158)</f>
        <v>0</v>
      </c>
      <c r="V42" s="83">
        <f t="shared" si="9"/>
        <v>0</v>
      </c>
      <c r="W42" s="83">
        <f t="shared" si="27"/>
        <v>0.84800000000000009</v>
      </c>
      <c r="X42" s="75">
        <f>LOOKUP(N42,'weather data'!$B$7:$B$158,'weather data'!$D$7:$D$158)</f>
        <v>0.24</v>
      </c>
      <c r="Y42" s="165">
        <v>1.05</v>
      </c>
      <c r="Z42" s="165">
        <f t="shared" si="28"/>
        <v>0.68250000000000011</v>
      </c>
      <c r="AA42" s="165">
        <f t="shared" si="42"/>
        <v>0.9700000000000002</v>
      </c>
      <c r="AB42" s="165">
        <f t="shared" si="29"/>
        <v>0.63050000000000017</v>
      </c>
      <c r="AC42" s="165">
        <v>1</v>
      </c>
      <c r="AD42" s="165">
        <f t="shared" si="30"/>
        <v>0.7</v>
      </c>
      <c r="AE42" s="165">
        <f t="shared" si="44"/>
        <v>0.84714285714285831</v>
      </c>
      <c r="AF42" s="165">
        <f t="shared" si="31"/>
        <v>0.72007142857142958</v>
      </c>
      <c r="AG42" s="155">
        <f t="shared" si="32"/>
        <v>0.68683071428571463</v>
      </c>
      <c r="AH42" s="87">
        <f t="shared" si="10"/>
        <v>1</v>
      </c>
      <c r="AI42" s="156">
        <f t="shared" si="11"/>
        <v>0.68683071428571463</v>
      </c>
      <c r="AJ42" s="82">
        <f t="shared" si="12"/>
        <v>0.1648393714285715</v>
      </c>
      <c r="AK42" s="82">
        <f t="shared" si="13"/>
        <v>0.1648393714285715</v>
      </c>
      <c r="AL42" s="82">
        <f t="shared" si="33"/>
        <v>4.1138684803721182</v>
      </c>
      <c r="AM42" s="157">
        <f t="shared" si="0"/>
        <v>0.88943571428571555</v>
      </c>
      <c r="AN42" s="24">
        <f t="shared" si="1"/>
        <v>4.1546227857142908</v>
      </c>
      <c r="AO42" s="51"/>
      <c r="AP42" s="51">
        <f t="shared" si="14"/>
        <v>6.5643040014285798</v>
      </c>
      <c r="AQ42" s="51">
        <f t="shared" si="34"/>
        <v>166.73332163628592</v>
      </c>
      <c r="AR42" s="24">
        <f t="shared" si="15"/>
        <v>2.4287924805285743</v>
      </c>
      <c r="AS42" s="37">
        <f t="shared" si="16"/>
        <v>4.1355115209000051</v>
      </c>
      <c r="AT42" s="24">
        <f t="shared" si="35"/>
        <v>1.9738995904239371</v>
      </c>
      <c r="AU42" s="24">
        <f t="shared" si="17"/>
        <v>2.1387389618525088</v>
      </c>
      <c r="AV42" s="24">
        <f t="shared" si="18"/>
        <v>4.4255650395760711</v>
      </c>
      <c r="AW42" s="24">
        <f t="shared" si="19"/>
        <v>1</v>
      </c>
      <c r="AX42" s="24">
        <f t="shared" si="20"/>
        <v>0</v>
      </c>
      <c r="AY42" s="25">
        <f t="shared" si="36"/>
        <v>0</v>
      </c>
      <c r="AZ42" s="24">
        <f t="shared" si="21"/>
        <v>0</v>
      </c>
      <c r="BA42" s="48">
        <f t="shared" si="37"/>
        <v>0</v>
      </c>
      <c r="BB42" s="48">
        <f t="shared" si="38"/>
        <v>0</v>
      </c>
      <c r="BC42" s="24">
        <f t="shared" si="22"/>
        <v>0</v>
      </c>
      <c r="BD42" s="51">
        <f t="shared" si="39"/>
        <v>0</v>
      </c>
      <c r="BE42" s="86">
        <f t="shared" si="23"/>
        <v>1.9751295185196094</v>
      </c>
      <c r="BF42" s="30">
        <f t="shared" si="24"/>
        <v>0</v>
      </c>
      <c r="BG42" s="30">
        <f t="shared" si="40"/>
        <v>1.9751295185196094</v>
      </c>
    </row>
    <row r="43" spans="1:59" x14ac:dyDescent="0.25">
      <c r="A43" s="15">
        <v>42188</v>
      </c>
      <c r="B43">
        <v>26040</v>
      </c>
      <c r="C43" s="54">
        <f t="shared" si="3"/>
        <v>3481.2834224598928</v>
      </c>
      <c r="E43"/>
      <c r="G43" s="15"/>
      <c r="L43" s="78">
        <f t="shared" si="4"/>
        <v>3481.2834224598928</v>
      </c>
      <c r="M43" s="64"/>
      <c r="N43" s="58">
        <v>42188</v>
      </c>
      <c r="O43" s="34">
        <f t="shared" si="5"/>
        <v>3481.2834224598928</v>
      </c>
      <c r="P43" s="80">
        <f t="shared" si="6"/>
        <v>0.38276542334703467</v>
      </c>
      <c r="Q43" s="80">
        <f t="shared" si="25"/>
        <v>9.7222417530146803</v>
      </c>
      <c r="R43" s="79">
        <f t="shared" si="26"/>
        <v>13732.620320855614</v>
      </c>
      <c r="S43" s="81">
        <f t="shared" si="7"/>
        <v>0.31525758312340713</v>
      </c>
      <c r="T43" s="80">
        <f t="shared" si="8"/>
        <v>1.5098949418666439</v>
      </c>
      <c r="U43" s="83">
        <f>LOOKUP(N43,'weather data'!$B$7:$B$158,'weather data'!$C$7:$C$158)</f>
        <v>0</v>
      </c>
      <c r="V43" s="83">
        <f t="shared" si="9"/>
        <v>0</v>
      </c>
      <c r="W43" s="83">
        <f t="shared" si="27"/>
        <v>0.84800000000000009</v>
      </c>
      <c r="X43" s="75">
        <f>LOOKUP(N43,'weather data'!$B$7:$B$158,'weather data'!$D$7:$D$158)</f>
        <v>0.23</v>
      </c>
      <c r="Y43" s="165">
        <v>1.05</v>
      </c>
      <c r="Z43" s="165">
        <f t="shared" si="28"/>
        <v>0.68250000000000011</v>
      </c>
      <c r="AA43" s="165">
        <f t="shared" si="42"/>
        <v>0.9800000000000002</v>
      </c>
      <c r="AB43" s="165">
        <f t="shared" si="29"/>
        <v>0.63700000000000012</v>
      </c>
      <c r="AC43" s="165">
        <v>1</v>
      </c>
      <c r="AD43" s="165">
        <f t="shared" si="30"/>
        <v>0.7</v>
      </c>
      <c r="AE43" s="165">
        <f t="shared" si="44"/>
        <v>0.86000000000000121</v>
      </c>
      <c r="AF43" s="165">
        <f t="shared" si="31"/>
        <v>0.73100000000000098</v>
      </c>
      <c r="AG43" s="155">
        <f t="shared" si="32"/>
        <v>0.6911050000000003</v>
      </c>
      <c r="AH43" s="87">
        <f t="shared" si="10"/>
        <v>1</v>
      </c>
      <c r="AI43" s="156">
        <f t="shared" si="11"/>
        <v>0.6911050000000003</v>
      </c>
      <c r="AJ43" s="82">
        <f t="shared" ref="AJ43:AJ74" si="45">X43*AG43</f>
        <v>0.15895415000000007</v>
      </c>
      <c r="AK43" s="82">
        <f t="shared" si="13"/>
        <v>0.15895415000000007</v>
      </c>
      <c r="AL43" s="82">
        <f t="shared" si="33"/>
        <v>4.2728226303721186</v>
      </c>
      <c r="AM43" s="157">
        <f t="shared" si="0"/>
        <v>0.90368333333333439</v>
      </c>
      <c r="AN43" s="24">
        <f t="shared" si="1"/>
        <v>4.2171698333333376</v>
      </c>
      <c r="AO43" s="51"/>
      <c r="AP43" s="51">
        <f t="shared" si="14"/>
        <v>6.6631283366666736</v>
      </c>
      <c r="AQ43" s="51">
        <f t="shared" si="34"/>
        <v>169.24345975133349</v>
      </c>
      <c r="AR43" s="24">
        <f t="shared" si="15"/>
        <v>2.465357484566669</v>
      </c>
      <c r="AS43" s="37">
        <f t="shared" si="16"/>
        <v>4.197770852100005</v>
      </c>
      <c r="AT43" s="24">
        <f t="shared" si="35"/>
        <v>2.1387389618525088</v>
      </c>
      <c r="AU43" s="24">
        <f t="shared" ref="AU43:AU74" si="46">IF(AT43+AK43-P43-V43&lt;0,0,AT43+AK43-P43-V43)</f>
        <v>1.914927688505474</v>
      </c>
      <c r="AV43" s="24">
        <f t="shared" si="18"/>
        <v>4.7482006481612</v>
      </c>
      <c r="AW43" s="24">
        <f t="shared" si="19"/>
        <v>1</v>
      </c>
      <c r="AX43" s="24">
        <f t="shared" ref="AX43:AX74" si="47">IF(P43+V43-AK43&gt;AT43,P43+V43-AK43-AT43,0)</f>
        <v>0</v>
      </c>
      <c r="AY43" s="25">
        <f t="shared" si="36"/>
        <v>0</v>
      </c>
      <c r="AZ43" s="24">
        <f t="shared" ref="AZ43:AZ74" si="48">IF(AND(P43&lt;&gt;0,AX43&lt;&gt;0,V43&lt;&gt;0),P43*AX43/(P43+V43),IF(AND(P43&lt;&gt;0,AX43&lt;&gt;0),AX43,0))</f>
        <v>0</v>
      </c>
      <c r="BA43" s="48">
        <f t="shared" si="37"/>
        <v>0</v>
      </c>
      <c r="BB43" s="48">
        <f t="shared" si="38"/>
        <v>0</v>
      </c>
      <c r="BC43" s="24">
        <f t="shared" ref="BC43:BC74" si="49">IF(AND(P43&lt;&gt;0,AX43&lt;&gt;0,V43&lt;&gt;0),V43*AX43/(P43+V43),IF(AND(V43&lt;&gt;0,AX43&lt;&gt;0),AX43,0))</f>
        <v>0</v>
      </c>
      <c r="BD43" s="51">
        <f t="shared" si="39"/>
        <v>0</v>
      </c>
      <c r="BE43" s="86">
        <f t="shared" ref="BE43:BE74" si="50">P43+V43+BE42</f>
        <v>2.3578949418666442</v>
      </c>
      <c r="BF43" s="30">
        <f t="shared" ref="BF43:BF74" si="51">P43+V43-AX43</f>
        <v>0.38276542334703467</v>
      </c>
      <c r="BG43" s="30">
        <f t="shared" si="40"/>
        <v>2.3578949418666442</v>
      </c>
    </row>
    <row r="44" spans="1:59" x14ac:dyDescent="0.25">
      <c r="A44" s="15">
        <v>42189</v>
      </c>
      <c r="B44">
        <v>0</v>
      </c>
      <c r="C44" s="54">
        <f t="shared" si="3"/>
        <v>0</v>
      </c>
      <c r="E44"/>
      <c r="G44" s="15"/>
      <c r="L44" s="78">
        <f t="shared" si="4"/>
        <v>0</v>
      </c>
      <c r="M44" s="64"/>
      <c r="N44" s="58">
        <v>42189</v>
      </c>
      <c r="O44" s="34">
        <f t="shared" si="5"/>
        <v>0</v>
      </c>
      <c r="P44" s="80">
        <f t="shared" si="6"/>
        <v>0</v>
      </c>
      <c r="Q44" s="80">
        <f t="shared" si="25"/>
        <v>0</v>
      </c>
      <c r="R44" s="79">
        <f t="shared" si="26"/>
        <v>13732.620320855614</v>
      </c>
      <c r="S44" s="81">
        <f t="shared" si="7"/>
        <v>0.31525758312340713</v>
      </c>
      <c r="T44" s="80">
        <f t="shared" si="8"/>
        <v>1.5098949418666439</v>
      </c>
      <c r="U44" s="83">
        <f>LOOKUP(N44,'weather data'!$B$7:$B$158,'weather data'!$C$7:$C$158)</f>
        <v>0</v>
      </c>
      <c r="V44" s="83">
        <f t="shared" si="9"/>
        <v>0</v>
      </c>
      <c r="W44" s="83">
        <f t="shared" si="27"/>
        <v>0.84800000000000009</v>
      </c>
      <c r="X44" s="75">
        <f>LOOKUP(N44,'weather data'!$B$7:$B$158,'weather data'!$D$7:$D$158)</f>
        <v>0.25</v>
      </c>
      <c r="Y44" s="165">
        <v>1.05</v>
      </c>
      <c r="Z44" s="165">
        <f t="shared" si="28"/>
        <v>0.68250000000000011</v>
      </c>
      <c r="AA44" s="165">
        <f t="shared" si="42"/>
        <v>0.99000000000000021</v>
      </c>
      <c r="AB44" s="165">
        <f t="shared" si="29"/>
        <v>0.64350000000000018</v>
      </c>
      <c r="AC44" s="165">
        <v>1</v>
      </c>
      <c r="AD44" s="165">
        <f t="shared" si="30"/>
        <v>0.7</v>
      </c>
      <c r="AE44" s="165">
        <f t="shared" si="44"/>
        <v>0.87285714285714411</v>
      </c>
      <c r="AF44" s="165">
        <f t="shared" si="31"/>
        <v>0.74192857142857249</v>
      </c>
      <c r="AG44" s="155">
        <f t="shared" si="32"/>
        <v>0.69537928571428609</v>
      </c>
      <c r="AH44" s="87">
        <f t="shared" si="10"/>
        <v>1</v>
      </c>
      <c r="AI44" s="156">
        <f t="shared" si="11"/>
        <v>0.69537928571428609</v>
      </c>
      <c r="AJ44" s="82">
        <f t="shared" si="45"/>
        <v>0.17384482142857152</v>
      </c>
      <c r="AK44" s="82">
        <f t="shared" si="13"/>
        <v>0.17384482142857152</v>
      </c>
      <c r="AL44" s="82">
        <f t="shared" si="33"/>
        <v>4.4466674518006899</v>
      </c>
      <c r="AM44" s="157">
        <f t="shared" si="0"/>
        <v>0.91793095238095368</v>
      </c>
      <c r="AN44" s="24">
        <f t="shared" si="1"/>
        <v>4.2797168809523862</v>
      </c>
      <c r="AO44" s="51"/>
      <c r="AP44" s="51">
        <f t="shared" si="14"/>
        <v>6.7619526719047709</v>
      </c>
      <c r="AQ44" s="51">
        <f t="shared" si="34"/>
        <v>171.75359786638117</v>
      </c>
      <c r="AR44" s="24">
        <f t="shared" si="15"/>
        <v>2.5019224886047651</v>
      </c>
      <c r="AS44" s="37">
        <f t="shared" si="16"/>
        <v>4.2600301833000058</v>
      </c>
      <c r="AT44" s="24">
        <f t="shared" si="35"/>
        <v>1.914927688505474</v>
      </c>
      <c r="AU44" s="24">
        <f t="shared" si="46"/>
        <v>2.0887725099340457</v>
      </c>
      <c r="AV44" s="24">
        <f t="shared" si="18"/>
        <v>4.6731801619707252</v>
      </c>
      <c r="AW44" s="24">
        <f t="shared" si="19"/>
        <v>1</v>
      </c>
      <c r="AX44" s="24">
        <f t="shared" si="47"/>
        <v>0</v>
      </c>
      <c r="AY44" s="25">
        <f t="shared" si="36"/>
        <v>0</v>
      </c>
      <c r="AZ44" s="24">
        <f t="shared" si="48"/>
        <v>0</v>
      </c>
      <c r="BA44" s="48">
        <f t="shared" si="37"/>
        <v>0</v>
      </c>
      <c r="BB44" s="48">
        <f t="shared" si="38"/>
        <v>0</v>
      </c>
      <c r="BC44" s="24">
        <f t="shared" si="49"/>
        <v>0</v>
      </c>
      <c r="BD44" s="51">
        <f t="shared" si="39"/>
        <v>0</v>
      </c>
      <c r="BE44" s="86">
        <f t="shared" si="50"/>
        <v>2.3578949418666442</v>
      </c>
      <c r="BF44" s="30">
        <f t="shared" si="51"/>
        <v>0</v>
      </c>
      <c r="BG44" s="30">
        <f t="shared" si="40"/>
        <v>2.3578949418666442</v>
      </c>
    </row>
    <row r="45" spans="1:59" x14ac:dyDescent="0.25">
      <c r="A45" s="15">
        <v>42190</v>
      </c>
      <c r="B45">
        <v>0</v>
      </c>
      <c r="C45" s="54">
        <f t="shared" ref="C45:C108" si="52">B45/7.48</f>
        <v>0</v>
      </c>
      <c r="E45"/>
      <c r="G45" s="15"/>
      <c r="L45" s="78">
        <f t="shared" ref="L45:L94" si="53">C45</f>
        <v>0</v>
      </c>
      <c r="M45" s="64"/>
      <c r="N45" s="58">
        <v>42190</v>
      </c>
      <c r="O45" s="34">
        <f t="shared" si="5"/>
        <v>0</v>
      </c>
      <c r="P45" s="80">
        <f t="shared" si="6"/>
        <v>0</v>
      </c>
      <c r="Q45" s="80">
        <f t="shared" si="25"/>
        <v>0</v>
      </c>
      <c r="R45" s="79">
        <f t="shared" si="26"/>
        <v>13732.620320855614</v>
      </c>
      <c r="S45" s="81">
        <f t="shared" si="7"/>
        <v>0.31525758312340713</v>
      </c>
      <c r="T45" s="80">
        <f t="shared" si="8"/>
        <v>1.5098949418666439</v>
      </c>
      <c r="U45" s="83">
        <f>LOOKUP(N45,'weather data'!$B$7:$B$158,'weather data'!$C$7:$C$158)</f>
        <v>0.17</v>
      </c>
      <c r="V45" s="83">
        <f t="shared" si="9"/>
        <v>0.13600000000000001</v>
      </c>
      <c r="W45" s="83">
        <f t="shared" si="27"/>
        <v>0.9840000000000001</v>
      </c>
      <c r="X45" s="75">
        <f>LOOKUP(N45,'weather data'!$B$7:$B$158,'weather data'!$D$7:$D$158)</f>
        <v>0.15</v>
      </c>
      <c r="Y45" s="165">
        <v>1.05</v>
      </c>
      <c r="Z45" s="165">
        <f t="shared" si="28"/>
        <v>0.68250000000000011</v>
      </c>
      <c r="AA45" s="165">
        <f t="shared" si="42"/>
        <v>1.0000000000000002</v>
      </c>
      <c r="AB45" s="165">
        <f t="shared" si="29"/>
        <v>0.65000000000000013</v>
      </c>
      <c r="AC45" s="165">
        <v>1</v>
      </c>
      <c r="AD45" s="165">
        <f t="shared" si="30"/>
        <v>0.7</v>
      </c>
      <c r="AE45" s="165">
        <f t="shared" si="44"/>
        <v>0.88571428571428701</v>
      </c>
      <c r="AF45" s="165">
        <f t="shared" si="31"/>
        <v>0.75285714285714389</v>
      </c>
      <c r="AG45" s="155">
        <f t="shared" si="32"/>
        <v>0.69965357142857187</v>
      </c>
      <c r="AH45" s="87">
        <f t="shared" si="10"/>
        <v>1</v>
      </c>
      <c r="AI45" s="156">
        <f t="shared" ref="AI45:AI94" si="54">AG45*AH45</f>
        <v>0.69965357142857187</v>
      </c>
      <c r="AJ45" s="82">
        <f t="shared" si="45"/>
        <v>0.10494803571428578</v>
      </c>
      <c r="AK45" s="82">
        <f t="shared" ref="AK45:AK94" si="55">AH45*AJ45</f>
        <v>0.10494803571428578</v>
      </c>
      <c r="AL45" s="82">
        <f t="shared" si="33"/>
        <v>4.5516154875149759</v>
      </c>
      <c r="AM45" s="157">
        <f t="shared" ref="AM45:AM81" si="56">(AG45-$AG$5)/($AG$6-$AG$5)</f>
        <v>0.93217857142857297</v>
      </c>
      <c r="AN45" s="24">
        <f t="shared" si="1"/>
        <v>4.3422639285714348</v>
      </c>
      <c r="AO45" s="51"/>
      <c r="AP45" s="51">
        <f t="shared" si="14"/>
        <v>6.8607770071428673</v>
      </c>
      <c r="AQ45" s="51">
        <f t="shared" si="34"/>
        <v>174.26373598142882</v>
      </c>
      <c r="AR45" s="24">
        <f t="shared" si="15"/>
        <v>2.5384874926428607</v>
      </c>
      <c r="AS45" s="37">
        <f t="shared" si="16"/>
        <v>4.3222895145000066</v>
      </c>
      <c r="AT45" s="24">
        <f t="shared" si="35"/>
        <v>2.0887725099340457</v>
      </c>
      <c r="AU45" s="24">
        <f t="shared" si="46"/>
        <v>2.0577205456483312</v>
      </c>
      <c r="AV45" s="24">
        <f t="shared" si="18"/>
        <v>4.8030564614945366</v>
      </c>
      <c r="AW45" s="24">
        <f t="shared" si="19"/>
        <v>1</v>
      </c>
      <c r="AX45" s="24">
        <f t="shared" si="47"/>
        <v>0</v>
      </c>
      <c r="AY45" s="25">
        <f t="shared" si="36"/>
        <v>0</v>
      </c>
      <c r="AZ45" s="24">
        <f t="shared" si="48"/>
        <v>0</v>
      </c>
      <c r="BA45" s="48">
        <f t="shared" si="37"/>
        <v>0</v>
      </c>
      <c r="BB45" s="48">
        <f t="shared" si="38"/>
        <v>0</v>
      </c>
      <c r="BC45" s="24">
        <f t="shared" si="49"/>
        <v>0</v>
      </c>
      <c r="BD45" s="51">
        <f t="shared" si="39"/>
        <v>0</v>
      </c>
      <c r="BE45" s="86">
        <f t="shared" si="50"/>
        <v>2.4938949418666443</v>
      </c>
      <c r="BF45" s="30">
        <f t="shared" si="51"/>
        <v>0.13600000000000001</v>
      </c>
      <c r="BG45" s="30">
        <f t="shared" si="40"/>
        <v>2.4938949418666443</v>
      </c>
    </row>
    <row r="46" spans="1:59" x14ac:dyDescent="0.25">
      <c r="A46" s="15">
        <v>42191</v>
      </c>
      <c r="B46">
        <v>21560</v>
      </c>
      <c r="C46" s="54">
        <f t="shared" si="52"/>
        <v>2882.3529411764703</v>
      </c>
      <c r="E46"/>
      <c r="G46" s="15"/>
      <c r="L46" s="78">
        <f t="shared" si="53"/>
        <v>2882.3529411764703</v>
      </c>
      <c r="M46" s="64"/>
      <c r="N46" s="58">
        <v>42191</v>
      </c>
      <c r="O46" s="34">
        <f t="shared" ref="O46:O94" si="57">L46</f>
        <v>2882.3529411764703</v>
      </c>
      <c r="P46" s="80">
        <f t="shared" ref="P46:P94" si="58">(O46/$D$2)*12</f>
        <v>0.31691330750238356</v>
      </c>
      <c r="Q46" s="80">
        <f t="shared" si="25"/>
        <v>8.0495980105605422</v>
      </c>
      <c r="R46" s="79">
        <f t="shared" ref="R46:R94" si="59">O46+R45</f>
        <v>16614.973262032086</v>
      </c>
      <c r="S46" s="81">
        <f t="shared" ref="S46:S94" si="60">R46/43560</f>
        <v>0.38142730169954286</v>
      </c>
      <c r="T46" s="80">
        <f t="shared" ref="T46:T94" si="61">(S46*12)/$D$3</f>
        <v>1.8268082493690276</v>
      </c>
      <c r="U46" s="83">
        <f>LOOKUP(N46,'weather data'!$B$7:$B$158,'weather data'!$C$7:$C$158)</f>
        <v>0.1</v>
      </c>
      <c r="V46" s="83">
        <f t="shared" ref="V46:V94" si="62">IF(U46&lt;0.05,0,0.8*U46)</f>
        <v>8.0000000000000016E-2</v>
      </c>
      <c r="W46" s="83">
        <f t="shared" ref="W46:W94" si="63">V46+W45</f>
        <v>1.0640000000000001</v>
      </c>
      <c r="X46" s="75">
        <f>LOOKUP(N46,'weather data'!$B$7:$B$158,'weather data'!$D$7:$D$158)</f>
        <v>0.19</v>
      </c>
      <c r="Y46" s="165">
        <v>1.05</v>
      </c>
      <c r="Z46" s="165">
        <f t="shared" si="28"/>
        <v>0.68250000000000011</v>
      </c>
      <c r="AA46" s="165">
        <f t="shared" si="42"/>
        <v>1.0100000000000002</v>
      </c>
      <c r="AB46" s="165">
        <f t="shared" si="29"/>
        <v>0.65650000000000019</v>
      </c>
      <c r="AC46" s="165">
        <v>1</v>
      </c>
      <c r="AD46" s="165">
        <f t="shared" si="30"/>
        <v>0.7</v>
      </c>
      <c r="AE46" s="165">
        <f t="shared" si="44"/>
        <v>0.89857142857142991</v>
      </c>
      <c r="AF46" s="165">
        <f t="shared" si="31"/>
        <v>0.7637857142857154</v>
      </c>
      <c r="AG46" s="155">
        <f t="shared" si="32"/>
        <v>0.70392785714285744</v>
      </c>
      <c r="AH46" s="87">
        <f t="shared" ref="AH46:AH94" si="64">IF(AT46&lt;=AR46,1,(AP46-AT46)/(AP46-AR46))</f>
        <v>1</v>
      </c>
      <c r="AI46" s="156">
        <f t="shared" si="54"/>
        <v>0.70392785714285744</v>
      </c>
      <c r="AJ46" s="82">
        <f t="shared" si="45"/>
        <v>0.1337462928571429</v>
      </c>
      <c r="AK46" s="82">
        <f t="shared" si="55"/>
        <v>0.1337462928571429</v>
      </c>
      <c r="AL46" s="82">
        <f t="shared" ref="AL46:AL94" si="65">AK46+AL45</f>
        <v>4.6853617803721193</v>
      </c>
      <c r="AM46" s="157">
        <f t="shared" si="56"/>
        <v>0.94642619047619159</v>
      </c>
      <c r="AN46" s="24">
        <f t="shared" si="1"/>
        <v>4.4048109761904808</v>
      </c>
      <c r="AO46" s="51"/>
      <c r="AP46" s="51">
        <f t="shared" ref="AP46:AP94" si="66">AN46*$B$4</f>
        <v>6.9596013423809602</v>
      </c>
      <c r="AQ46" s="51">
        <f t="shared" si="34"/>
        <v>176.77387409647639</v>
      </c>
      <c r="AR46" s="24">
        <f t="shared" ref="AR46:AR94" si="67">AP46*$B$5</f>
        <v>2.5750524966809554</v>
      </c>
      <c r="AS46" s="37">
        <f t="shared" ref="AS46:AS94" si="68">AP46-AR46</f>
        <v>4.3845488457000048</v>
      </c>
      <c r="AT46" s="24">
        <f t="shared" ref="AT46:AT94" si="69">AU45</f>
        <v>2.0577205456483312</v>
      </c>
      <c r="AU46" s="24">
        <f t="shared" si="46"/>
        <v>1.7945535310030905</v>
      </c>
      <c r="AV46" s="24">
        <f t="shared" ref="AV46:AV94" si="70">AP46-AU46</f>
        <v>5.1650478113778693</v>
      </c>
      <c r="AW46" s="24">
        <f t="shared" ref="AW46:AW94" si="71">IF(AJ46=0,"",AK46/AJ46)</f>
        <v>1</v>
      </c>
      <c r="AX46" s="24">
        <f t="shared" si="47"/>
        <v>0</v>
      </c>
      <c r="AY46" s="25">
        <f t="shared" ref="AY46:AY94" si="72">AX46+AY45</f>
        <v>0</v>
      </c>
      <c r="AZ46" s="24">
        <f t="shared" si="48"/>
        <v>0</v>
      </c>
      <c r="BA46" s="48">
        <f t="shared" si="37"/>
        <v>0</v>
      </c>
      <c r="BB46" s="48">
        <f t="shared" ref="BB46:BB94" si="73">AZ46+BB45</f>
        <v>0</v>
      </c>
      <c r="BC46" s="24">
        <f t="shared" si="49"/>
        <v>0</v>
      </c>
      <c r="BD46" s="51">
        <f t="shared" ref="BD46:BD94" si="74">BC46+BD45</f>
        <v>0</v>
      </c>
      <c r="BE46" s="86">
        <f t="shared" si="50"/>
        <v>2.8908082493690279</v>
      </c>
      <c r="BF46" s="30">
        <f t="shared" si="51"/>
        <v>0.39691330750238357</v>
      </c>
      <c r="BG46" s="30">
        <f t="shared" ref="BG46:BG94" si="75">BF46+BG45</f>
        <v>2.8908082493690279</v>
      </c>
    </row>
    <row r="47" spans="1:59" x14ac:dyDescent="0.25">
      <c r="A47" s="15">
        <v>42192</v>
      </c>
      <c r="B47">
        <v>0</v>
      </c>
      <c r="C47" s="54">
        <f t="shared" si="52"/>
        <v>0</v>
      </c>
      <c r="E47"/>
      <c r="G47" s="15"/>
      <c r="L47" s="78">
        <f t="shared" si="53"/>
        <v>0</v>
      </c>
      <c r="M47" s="64"/>
      <c r="N47" s="58">
        <v>42192</v>
      </c>
      <c r="O47" s="34">
        <f t="shared" si="57"/>
        <v>0</v>
      </c>
      <c r="P47" s="80">
        <f t="shared" si="58"/>
        <v>0</v>
      </c>
      <c r="Q47" s="80">
        <f t="shared" si="25"/>
        <v>0</v>
      </c>
      <c r="R47" s="79">
        <f t="shared" si="59"/>
        <v>16614.973262032086</v>
      </c>
      <c r="S47" s="81">
        <f t="shared" si="60"/>
        <v>0.38142730169954286</v>
      </c>
      <c r="T47" s="80">
        <f t="shared" si="61"/>
        <v>1.8268082493690276</v>
      </c>
      <c r="U47" s="83">
        <f>LOOKUP(N47,'weather data'!$B$7:$B$158,'weather data'!$C$7:$C$158)</f>
        <v>0</v>
      </c>
      <c r="V47" s="83">
        <f t="shared" si="62"/>
        <v>0</v>
      </c>
      <c r="W47" s="83">
        <f t="shared" si="63"/>
        <v>1.0640000000000001</v>
      </c>
      <c r="X47" s="75">
        <f>LOOKUP(N47,'weather data'!$B$7:$B$158,'weather data'!$D$7:$D$158)</f>
        <v>0.21</v>
      </c>
      <c r="Y47" s="165">
        <v>1.05</v>
      </c>
      <c r="Z47" s="165">
        <f t="shared" si="28"/>
        <v>0.68250000000000011</v>
      </c>
      <c r="AA47" s="165">
        <f t="shared" si="42"/>
        <v>1.0200000000000002</v>
      </c>
      <c r="AB47" s="165">
        <f t="shared" si="29"/>
        <v>0.66300000000000014</v>
      </c>
      <c r="AC47" s="165">
        <v>1</v>
      </c>
      <c r="AD47" s="165">
        <f t="shared" si="30"/>
        <v>0.7</v>
      </c>
      <c r="AE47" s="165">
        <f t="shared" si="44"/>
        <v>0.91142857142857281</v>
      </c>
      <c r="AF47" s="165">
        <f t="shared" si="31"/>
        <v>0.77471428571428691</v>
      </c>
      <c r="AG47" s="155">
        <f t="shared" si="32"/>
        <v>0.70820214285714322</v>
      </c>
      <c r="AH47" s="87">
        <f t="shared" si="64"/>
        <v>1</v>
      </c>
      <c r="AI47" s="156">
        <f t="shared" si="54"/>
        <v>0.70820214285714322</v>
      </c>
      <c r="AJ47" s="82">
        <f t="shared" si="45"/>
        <v>0.14872245000000006</v>
      </c>
      <c r="AK47" s="82">
        <f t="shared" si="55"/>
        <v>0.14872245000000006</v>
      </c>
      <c r="AL47" s="82">
        <f t="shared" si="65"/>
        <v>4.8340842303721194</v>
      </c>
      <c r="AM47" s="157">
        <f t="shared" si="56"/>
        <v>0.96067380952381087</v>
      </c>
      <c r="AN47" s="24">
        <f t="shared" si="1"/>
        <v>4.4673580238095294</v>
      </c>
      <c r="AO47" s="51"/>
      <c r="AP47" s="51">
        <f t="shared" si="66"/>
        <v>7.0584256776190566</v>
      </c>
      <c r="AQ47" s="51">
        <f t="shared" si="34"/>
        <v>179.28401221152401</v>
      </c>
      <c r="AR47" s="24">
        <f t="shared" si="67"/>
        <v>2.611617500719051</v>
      </c>
      <c r="AS47" s="37">
        <f t="shared" si="68"/>
        <v>4.4468081769000056</v>
      </c>
      <c r="AT47" s="24">
        <f t="shared" si="69"/>
        <v>1.7945535310030905</v>
      </c>
      <c r="AU47" s="24">
        <f t="shared" si="46"/>
        <v>1.9432759810030906</v>
      </c>
      <c r="AV47" s="24">
        <f t="shared" si="70"/>
        <v>5.1151496966159655</v>
      </c>
      <c r="AW47" s="24">
        <f t="shared" si="71"/>
        <v>1</v>
      </c>
      <c r="AX47" s="24">
        <f t="shared" si="47"/>
        <v>0</v>
      </c>
      <c r="AY47" s="25">
        <f t="shared" si="72"/>
        <v>0</v>
      </c>
      <c r="AZ47" s="24">
        <f t="shared" si="48"/>
        <v>0</v>
      </c>
      <c r="BA47" s="48">
        <f t="shared" si="37"/>
        <v>0</v>
      </c>
      <c r="BB47" s="48">
        <f t="shared" si="73"/>
        <v>0</v>
      </c>
      <c r="BC47" s="24">
        <f t="shared" si="49"/>
        <v>0</v>
      </c>
      <c r="BD47" s="51">
        <f t="shared" si="74"/>
        <v>0</v>
      </c>
      <c r="BE47" s="86">
        <f t="shared" si="50"/>
        <v>2.8908082493690279</v>
      </c>
      <c r="BF47" s="30">
        <f t="shared" si="51"/>
        <v>0</v>
      </c>
      <c r="BG47" s="30">
        <f t="shared" si="75"/>
        <v>2.8908082493690279</v>
      </c>
    </row>
    <row r="48" spans="1:59" x14ac:dyDescent="0.25">
      <c r="A48" s="15">
        <v>42193</v>
      </c>
      <c r="B48">
        <v>0</v>
      </c>
      <c r="C48" s="54">
        <f t="shared" si="52"/>
        <v>0</v>
      </c>
      <c r="E48"/>
      <c r="G48" s="15"/>
      <c r="L48" s="78">
        <f t="shared" si="53"/>
        <v>0</v>
      </c>
      <c r="M48" s="64"/>
      <c r="N48" s="58">
        <v>42193</v>
      </c>
      <c r="O48" s="34">
        <f t="shared" si="57"/>
        <v>0</v>
      </c>
      <c r="P48" s="80">
        <f t="shared" si="58"/>
        <v>0</v>
      </c>
      <c r="Q48" s="80">
        <f t="shared" si="25"/>
        <v>0</v>
      </c>
      <c r="R48" s="79">
        <f t="shared" si="59"/>
        <v>16614.973262032086</v>
      </c>
      <c r="S48" s="81">
        <f t="shared" si="60"/>
        <v>0.38142730169954286</v>
      </c>
      <c r="T48" s="80">
        <f t="shared" si="61"/>
        <v>1.8268082493690276</v>
      </c>
      <c r="U48" s="83">
        <f>LOOKUP(N48,'weather data'!$B$7:$B$158,'weather data'!$C$7:$C$158)</f>
        <v>0.19</v>
      </c>
      <c r="V48" s="83">
        <f t="shared" si="62"/>
        <v>0.15200000000000002</v>
      </c>
      <c r="W48" s="83">
        <f t="shared" si="63"/>
        <v>1.2160000000000002</v>
      </c>
      <c r="X48" s="75">
        <f>LOOKUP(N48,'weather data'!$B$7:$B$158,'weather data'!$D$7:$D$158)</f>
        <v>0.1</v>
      </c>
      <c r="Y48" s="165">
        <v>1.05</v>
      </c>
      <c r="Z48" s="165">
        <f t="shared" si="28"/>
        <v>0.68250000000000011</v>
      </c>
      <c r="AA48" s="165">
        <f t="shared" si="42"/>
        <v>1.0300000000000002</v>
      </c>
      <c r="AB48" s="165">
        <f t="shared" si="29"/>
        <v>0.66950000000000021</v>
      </c>
      <c r="AC48" s="165">
        <v>1</v>
      </c>
      <c r="AD48" s="165">
        <f t="shared" si="30"/>
        <v>0.7</v>
      </c>
      <c r="AE48" s="165">
        <f t="shared" si="44"/>
        <v>0.92428571428571571</v>
      </c>
      <c r="AF48" s="165">
        <f t="shared" si="31"/>
        <v>0.78564285714285831</v>
      </c>
      <c r="AG48" s="155">
        <f t="shared" si="32"/>
        <v>0.7124764285714289</v>
      </c>
      <c r="AH48" s="87">
        <f t="shared" si="64"/>
        <v>1</v>
      </c>
      <c r="AI48" s="156">
        <f t="shared" si="54"/>
        <v>0.7124764285714289</v>
      </c>
      <c r="AJ48" s="82">
        <f t="shared" si="45"/>
        <v>7.1247642857142898E-2</v>
      </c>
      <c r="AK48" s="82">
        <f t="shared" si="55"/>
        <v>7.1247642857142898E-2</v>
      </c>
      <c r="AL48" s="82">
        <f t="shared" si="65"/>
        <v>4.9053318732292626</v>
      </c>
      <c r="AM48" s="157">
        <f t="shared" si="56"/>
        <v>0.97492142857142972</v>
      </c>
      <c r="AN48" s="24">
        <f t="shared" si="1"/>
        <v>4.5299050714285762</v>
      </c>
      <c r="AO48" s="51"/>
      <c r="AP48" s="51">
        <f t="shared" si="66"/>
        <v>7.1572500128571503</v>
      </c>
      <c r="AQ48" s="51">
        <f t="shared" si="34"/>
        <v>181.79415032657161</v>
      </c>
      <c r="AR48" s="24">
        <f t="shared" si="67"/>
        <v>2.6481825047571457</v>
      </c>
      <c r="AS48" s="37">
        <f t="shared" si="68"/>
        <v>4.5090675081000047</v>
      </c>
      <c r="AT48" s="24">
        <f t="shared" si="69"/>
        <v>1.9432759810030906</v>
      </c>
      <c r="AU48" s="24">
        <f t="shared" si="46"/>
        <v>1.8625236238602332</v>
      </c>
      <c r="AV48" s="24">
        <f t="shared" si="70"/>
        <v>5.2947263889969172</v>
      </c>
      <c r="AW48" s="24">
        <f t="shared" si="71"/>
        <v>1</v>
      </c>
      <c r="AX48" s="24">
        <f t="shared" si="47"/>
        <v>0</v>
      </c>
      <c r="AY48" s="25">
        <f t="shared" si="72"/>
        <v>0</v>
      </c>
      <c r="AZ48" s="24">
        <f t="shared" si="48"/>
        <v>0</v>
      </c>
      <c r="BA48" s="48">
        <f t="shared" si="37"/>
        <v>0</v>
      </c>
      <c r="BB48" s="48">
        <f t="shared" si="73"/>
        <v>0</v>
      </c>
      <c r="BC48" s="24">
        <f t="shared" si="49"/>
        <v>0</v>
      </c>
      <c r="BD48" s="51">
        <f t="shared" si="74"/>
        <v>0</v>
      </c>
      <c r="BE48" s="86">
        <f t="shared" si="50"/>
        <v>3.0428082493690281</v>
      </c>
      <c r="BF48" s="30">
        <f t="shared" si="51"/>
        <v>0.15200000000000002</v>
      </c>
      <c r="BG48" s="30">
        <f t="shared" si="75"/>
        <v>3.0428082493690281</v>
      </c>
    </row>
    <row r="49" spans="1:59" x14ac:dyDescent="0.25">
      <c r="A49" s="15">
        <v>42194</v>
      </c>
      <c r="B49">
        <v>0</v>
      </c>
      <c r="C49" s="54">
        <f t="shared" si="52"/>
        <v>0</v>
      </c>
      <c r="E49"/>
      <c r="G49" s="15"/>
      <c r="L49" s="78">
        <f t="shared" si="53"/>
        <v>0</v>
      </c>
      <c r="M49" s="64"/>
      <c r="N49" s="58">
        <v>42194</v>
      </c>
      <c r="O49" s="34">
        <f t="shared" si="57"/>
        <v>0</v>
      </c>
      <c r="P49" s="80">
        <f t="shared" si="58"/>
        <v>0</v>
      </c>
      <c r="Q49" s="80">
        <f t="shared" si="25"/>
        <v>0</v>
      </c>
      <c r="R49" s="79">
        <f t="shared" si="59"/>
        <v>16614.973262032086</v>
      </c>
      <c r="S49" s="81">
        <f t="shared" si="60"/>
        <v>0.38142730169954286</v>
      </c>
      <c r="T49" s="80">
        <f t="shared" si="61"/>
        <v>1.8268082493690276</v>
      </c>
      <c r="U49" s="83">
        <f>LOOKUP(N49,'weather data'!$B$7:$B$158,'weather data'!$C$7:$C$158)</f>
        <v>0.13</v>
      </c>
      <c r="V49" s="83">
        <f t="shared" si="62"/>
        <v>0.10400000000000001</v>
      </c>
      <c r="W49" s="83">
        <f t="shared" si="63"/>
        <v>1.3200000000000003</v>
      </c>
      <c r="X49" s="75">
        <f>LOOKUP(N49,'weather data'!$B$7:$B$158,'weather data'!$D$7:$D$158)</f>
        <v>0.21</v>
      </c>
      <c r="Y49" s="165">
        <v>1.05</v>
      </c>
      <c r="Z49" s="165">
        <f t="shared" si="28"/>
        <v>0.68250000000000011</v>
      </c>
      <c r="AA49" s="165">
        <f t="shared" si="42"/>
        <v>1.0400000000000003</v>
      </c>
      <c r="AB49" s="165">
        <f t="shared" si="29"/>
        <v>0.67600000000000016</v>
      </c>
      <c r="AC49" s="165">
        <v>1</v>
      </c>
      <c r="AD49" s="165">
        <f t="shared" si="30"/>
        <v>0.7</v>
      </c>
      <c r="AE49" s="165">
        <f t="shared" si="44"/>
        <v>0.93714285714285861</v>
      </c>
      <c r="AF49" s="165">
        <f t="shared" si="31"/>
        <v>0.79657142857142982</v>
      </c>
      <c r="AG49" s="155">
        <f t="shared" si="32"/>
        <v>0.71675071428571469</v>
      </c>
      <c r="AH49" s="87">
        <f t="shared" si="64"/>
        <v>1</v>
      </c>
      <c r="AI49" s="156">
        <f t="shared" si="54"/>
        <v>0.71675071428571469</v>
      </c>
      <c r="AJ49" s="82">
        <f t="shared" si="45"/>
        <v>0.15051765000000009</v>
      </c>
      <c r="AK49" s="82">
        <f t="shared" si="55"/>
        <v>0.15051765000000009</v>
      </c>
      <c r="AL49" s="82">
        <f t="shared" si="65"/>
        <v>5.0558495232292628</v>
      </c>
      <c r="AM49" s="157">
        <f t="shared" si="56"/>
        <v>0.989169047619049</v>
      </c>
      <c r="AN49" s="24">
        <f t="shared" si="1"/>
        <v>4.5924521190476248</v>
      </c>
      <c r="AO49" s="51"/>
      <c r="AP49" s="51">
        <f t="shared" si="66"/>
        <v>7.2560743480952477</v>
      </c>
      <c r="AQ49" s="51">
        <f t="shared" si="34"/>
        <v>184.30428844161929</v>
      </c>
      <c r="AR49" s="24">
        <f t="shared" si="67"/>
        <v>2.6847475087952417</v>
      </c>
      <c r="AS49" s="37">
        <f t="shared" si="68"/>
        <v>4.5713268393000064</v>
      </c>
      <c r="AT49" s="24">
        <f t="shared" si="69"/>
        <v>1.8625236238602332</v>
      </c>
      <c r="AU49" s="24">
        <f t="shared" si="46"/>
        <v>1.9090412738602334</v>
      </c>
      <c r="AV49" s="24">
        <f t="shared" si="70"/>
        <v>5.3470330742350143</v>
      </c>
      <c r="AW49" s="24">
        <f t="shared" si="71"/>
        <v>1</v>
      </c>
      <c r="AX49" s="24">
        <f t="shared" si="47"/>
        <v>0</v>
      </c>
      <c r="AY49" s="25">
        <f t="shared" si="72"/>
        <v>0</v>
      </c>
      <c r="AZ49" s="24">
        <f t="shared" si="48"/>
        <v>0</v>
      </c>
      <c r="BA49" s="48">
        <f t="shared" si="37"/>
        <v>0</v>
      </c>
      <c r="BB49" s="48">
        <f t="shared" si="73"/>
        <v>0</v>
      </c>
      <c r="BC49" s="24">
        <f t="shared" si="49"/>
        <v>0</v>
      </c>
      <c r="BD49" s="51">
        <f t="shared" si="74"/>
        <v>0</v>
      </c>
      <c r="BE49" s="86">
        <f t="shared" si="50"/>
        <v>3.1468082493690281</v>
      </c>
      <c r="BF49" s="30">
        <f t="shared" si="51"/>
        <v>0.10400000000000001</v>
      </c>
      <c r="BG49" s="30">
        <f t="shared" si="75"/>
        <v>3.1468082493690281</v>
      </c>
    </row>
    <row r="50" spans="1:59" x14ac:dyDescent="0.25">
      <c r="A50" s="15">
        <v>42195</v>
      </c>
      <c r="B50">
        <v>3390</v>
      </c>
      <c r="C50" s="54">
        <f t="shared" si="52"/>
        <v>453.2085561497326</v>
      </c>
      <c r="E50"/>
      <c r="G50" s="15"/>
      <c r="L50" s="78">
        <f t="shared" si="53"/>
        <v>453.2085561497326</v>
      </c>
      <c r="M50" s="64"/>
      <c r="N50" s="58">
        <v>42195</v>
      </c>
      <c r="O50" s="34">
        <f t="shared" si="57"/>
        <v>453.2085561497326</v>
      </c>
      <c r="P50" s="80">
        <f t="shared" si="58"/>
        <v>4.9830060873519495E-2</v>
      </c>
      <c r="Q50" s="80">
        <f t="shared" si="25"/>
        <v>1.2656835461873952</v>
      </c>
      <c r="R50" s="79">
        <f t="shared" si="59"/>
        <v>17068.18181818182</v>
      </c>
      <c r="S50" s="81">
        <f t="shared" si="60"/>
        <v>0.39183153852575342</v>
      </c>
      <c r="T50" s="80">
        <f t="shared" si="61"/>
        <v>1.8766383102425472</v>
      </c>
      <c r="U50" s="83">
        <f>LOOKUP(N50,'weather data'!$B$7:$B$158,'weather data'!$C$7:$C$158)</f>
        <v>0</v>
      </c>
      <c r="V50" s="83">
        <f t="shared" si="62"/>
        <v>0</v>
      </c>
      <c r="W50" s="83">
        <f t="shared" si="63"/>
        <v>1.3200000000000003</v>
      </c>
      <c r="X50" s="75">
        <f>LOOKUP(N50,'weather data'!$B$7:$B$158,'weather data'!$D$7:$D$158)</f>
        <v>0.24</v>
      </c>
      <c r="Y50" s="165">
        <v>1.05</v>
      </c>
      <c r="Z50" s="165">
        <f t="shared" si="28"/>
        <v>0.68250000000000011</v>
      </c>
      <c r="AA50" s="165">
        <f t="shared" si="42"/>
        <v>1.0500000000000003</v>
      </c>
      <c r="AB50" s="165">
        <f t="shared" si="29"/>
        <v>0.68250000000000022</v>
      </c>
      <c r="AC50" s="165">
        <v>1</v>
      </c>
      <c r="AD50" s="165">
        <f t="shared" si="30"/>
        <v>0.7</v>
      </c>
      <c r="AE50" s="165">
        <f t="shared" si="44"/>
        <v>0.95000000000000151</v>
      </c>
      <c r="AF50" s="165">
        <f t="shared" si="31"/>
        <v>0.80750000000000122</v>
      </c>
      <c r="AG50" s="155">
        <f t="shared" si="32"/>
        <v>0.72102500000000047</v>
      </c>
      <c r="AH50" s="87">
        <f t="shared" si="64"/>
        <v>1</v>
      </c>
      <c r="AI50" s="156">
        <f t="shared" si="54"/>
        <v>0.72102500000000047</v>
      </c>
      <c r="AJ50" s="82">
        <f t="shared" si="45"/>
        <v>0.17304600000000012</v>
      </c>
      <c r="AK50" s="82">
        <f t="shared" si="55"/>
        <v>0.17304600000000012</v>
      </c>
      <c r="AL50" s="82">
        <f t="shared" si="65"/>
        <v>5.2288955232292631</v>
      </c>
      <c r="AM50" s="157">
        <f t="shared" si="56"/>
        <v>1.0034166666666684</v>
      </c>
      <c r="AN50" s="24">
        <f t="shared" si="1"/>
        <v>4.6399999999999997</v>
      </c>
      <c r="AO50" s="51"/>
      <c r="AP50" s="51">
        <f t="shared" si="66"/>
        <v>7.3311999999999999</v>
      </c>
      <c r="AQ50" s="51">
        <f t="shared" si="34"/>
        <v>186.21248</v>
      </c>
      <c r="AR50" s="24">
        <f t="shared" si="67"/>
        <v>2.7125439999999998</v>
      </c>
      <c r="AS50" s="37">
        <f t="shared" si="68"/>
        <v>4.6186559999999997</v>
      </c>
      <c r="AT50" s="24">
        <f t="shared" si="69"/>
        <v>1.9090412738602334</v>
      </c>
      <c r="AU50" s="24">
        <f t="shared" si="46"/>
        <v>2.032257212986714</v>
      </c>
      <c r="AV50" s="24">
        <f t="shared" si="70"/>
        <v>5.2989427870132859</v>
      </c>
      <c r="AW50" s="24">
        <f t="shared" si="71"/>
        <v>1</v>
      </c>
      <c r="AX50" s="24">
        <f t="shared" si="47"/>
        <v>0</v>
      </c>
      <c r="AY50" s="25">
        <f t="shared" si="72"/>
        <v>0</v>
      </c>
      <c r="AZ50" s="24">
        <f t="shared" si="48"/>
        <v>0</v>
      </c>
      <c r="BA50" s="48">
        <f t="shared" si="37"/>
        <v>0</v>
      </c>
      <c r="BB50" s="48">
        <f t="shared" si="73"/>
        <v>0</v>
      </c>
      <c r="BC50" s="24">
        <f t="shared" si="49"/>
        <v>0</v>
      </c>
      <c r="BD50" s="51">
        <f t="shared" si="74"/>
        <v>0</v>
      </c>
      <c r="BE50" s="86">
        <f t="shared" si="50"/>
        <v>3.1966383102425477</v>
      </c>
      <c r="BF50" s="30">
        <f t="shared" si="51"/>
        <v>4.9830060873519495E-2</v>
      </c>
      <c r="BG50" s="30">
        <f t="shared" si="75"/>
        <v>3.1966383102425477</v>
      </c>
    </row>
    <row r="51" spans="1:59" x14ac:dyDescent="0.25">
      <c r="A51" s="15">
        <v>42196</v>
      </c>
      <c r="B51">
        <v>180</v>
      </c>
      <c r="C51" s="54">
        <f t="shared" si="52"/>
        <v>24.064171122994651</v>
      </c>
      <c r="E51"/>
      <c r="G51" s="15"/>
      <c r="L51" s="78">
        <f t="shared" si="53"/>
        <v>24.064171122994651</v>
      </c>
      <c r="M51" s="64"/>
      <c r="N51" s="58">
        <v>42196</v>
      </c>
      <c r="O51" s="34">
        <f t="shared" si="57"/>
        <v>24.064171122994651</v>
      </c>
      <c r="P51" s="80">
        <f t="shared" si="58"/>
        <v>2.645843940186876E-3</v>
      </c>
      <c r="Q51" s="80">
        <f t="shared" si="25"/>
        <v>6.7204436080746652E-2</v>
      </c>
      <c r="R51" s="79">
        <f t="shared" si="59"/>
        <v>17092.245989304814</v>
      </c>
      <c r="S51" s="81">
        <f t="shared" si="60"/>
        <v>0.39238397587935753</v>
      </c>
      <c r="T51" s="80">
        <f t="shared" si="61"/>
        <v>1.8792841541827341</v>
      </c>
      <c r="U51" s="83">
        <f>LOOKUP(N51,'weather data'!$B$7:$B$158,'weather data'!$C$7:$C$158)</f>
        <v>0</v>
      </c>
      <c r="V51" s="83">
        <f t="shared" si="62"/>
        <v>0</v>
      </c>
      <c r="W51" s="83">
        <f t="shared" si="63"/>
        <v>1.3200000000000003</v>
      </c>
      <c r="X51" s="75">
        <f>LOOKUP(N51,'weather data'!$B$7:$B$158,'weather data'!$D$7:$D$158)</f>
        <v>0.25</v>
      </c>
      <c r="Y51" s="165">
        <v>1.05</v>
      </c>
      <c r="Z51" s="165">
        <f t="shared" si="28"/>
        <v>0.68250000000000011</v>
      </c>
      <c r="AA51" s="165">
        <v>1.05</v>
      </c>
      <c r="AB51" s="165">
        <f t="shared" si="29"/>
        <v>0.68250000000000011</v>
      </c>
      <c r="AC51" s="165">
        <v>1</v>
      </c>
      <c r="AD51" s="165">
        <f t="shared" si="30"/>
        <v>0.7</v>
      </c>
      <c r="AE51" s="165">
        <v>0.95</v>
      </c>
      <c r="AF51" s="165">
        <f t="shared" si="31"/>
        <v>0.8075</v>
      </c>
      <c r="AG51" s="155">
        <f t="shared" si="32"/>
        <v>0.72102500000000014</v>
      </c>
      <c r="AH51" s="87">
        <f t="shared" si="64"/>
        <v>1</v>
      </c>
      <c r="AI51" s="156">
        <f t="shared" si="54"/>
        <v>0.72102500000000014</v>
      </c>
      <c r="AJ51" s="82">
        <f t="shared" si="45"/>
        <v>0.18025625000000003</v>
      </c>
      <c r="AK51" s="82">
        <f t="shared" si="55"/>
        <v>0.18025625000000003</v>
      </c>
      <c r="AL51" s="82">
        <f t="shared" si="65"/>
        <v>5.4091517732292633</v>
      </c>
      <c r="AM51" s="157">
        <f t="shared" si="56"/>
        <v>1.0034166666666673</v>
      </c>
      <c r="AN51" s="24">
        <f t="shared" si="1"/>
        <v>4.6399999999999997</v>
      </c>
      <c r="AO51" s="51"/>
      <c r="AP51" s="51">
        <f t="shared" si="66"/>
        <v>7.3311999999999999</v>
      </c>
      <c r="AQ51" s="51">
        <f t="shared" si="34"/>
        <v>186.21248</v>
      </c>
      <c r="AR51" s="24">
        <f t="shared" si="67"/>
        <v>2.7125439999999998</v>
      </c>
      <c r="AS51" s="37">
        <f t="shared" si="68"/>
        <v>4.6186559999999997</v>
      </c>
      <c r="AT51" s="24">
        <f t="shared" si="69"/>
        <v>2.032257212986714</v>
      </c>
      <c r="AU51" s="24">
        <f t="shared" si="46"/>
        <v>2.2098676190465274</v>
      </c>
      <c r="AV51" s="24">
        <f t="shared" si="70"/>
        <v>5.1213323809534721</v>
      </c>
      <c r="AW51" s="24">
        <f t="shared" si="71"/>
        <v>1</v>
      </c>
      <c r="AX51" s="24">
        <f t="shared" si="47"/>
        <v>0</v>
      </c>
      <c r="AY51" s="25">
        <f t="shared" si="72"/>
        <v>0</v>
      </c>
      <c r="AZ51" s="24">
        <f t="shared" si="48"/>
        <v>0</v>
      </c>
      <c r="BA51" s="48">
        <f t="shared" si="37"/>
        <v>0</v>
      </c>
      <c r="BB51" s="48">
        <f t="shared" si="73"/>
        <v>0</v>
      </c>
      <c r="BC51" s="24">
        <f t="shared" si="49"/>
        <v>0</v>
      </c>
      <c r="BD51" s="51">
        <f t="shared" si="74"/>
        <v>0</v>
      </c>
      <c r="BE51" s="86">
        <f t="shared" si="50"/>
        <v>3.1992841541827346</v>
      </c>
      <c r="BF51" s="30">
        <f t="shared" si="51"/>
        <v>2.645843940186876E-3</v>
      </c>
      <c r="BG51" s="30">
        <f t="shared" si="75"/>
        <v>3.1992841541827346</v>
      </c>
    </row>
    <row r="52" spans="1:59" x14ac:dyDescent="0.25">
      <c r="A52" s="15">
        <v>42197</v>
      </c>
      <c r="B52">
        <v>0</v>
      </c>
      <c r="C52" s="54">
        <f t="shared" si="52"/>
        <v>0</v>
      </c>
      <c r="E52"/>
      <c r="G52" s="15"/>
      <c r="L52" s="78">
        <f t="shared" si="53"/>
        <v>0</v>
      </c>
      <c r="M52" s="64"/>
      <c r="N52" s="58">
        <v>42197</v>
      </c>
      <c r="O52" s="34">
        <f t="shared" si="57"/>
        <v>0</v>
      </c>
      <c r="P52" s="80">
        <f t="shared" si="58"/>
        <v>0</v>
      </c>
      <c r="Q52" s="80">
        <f t="shared" si="25"/>
        <v>0</v>
      </c>
      <c r="R52" s="79">
        <f t="shared" si="59"/>
        <v>17092.245989304814</v>
      </c>
      <c r="S52" s="81">
        <f t="shared" si="60"/>
        <v>0.39238397587935753</v>
      </c>
      <c r="T52" s="80">
        <f t="shared" si="61"/>
        <v>1.8792841541827341</v>
      </c>
      <c r="U52" s="83">
        <f>LOOKUP(N52,'weather data'!$B$7:$B$158,'weather data'!$C$7:$C$158)</f>
        <v>0</v>
      </c>
      <c r="V52" s="83">
        <f t="shared" si="62"/>
        <v>0</v>
      </c>
      <c r="W52" s="83">
        <f t="shared" si="63"/>
        <v>1.3200000000000003</v>
      </c>
      <c r="X52" s="75">
        <f>LOOKUP(N52,'weather data'!$B$7:$B$158,'weather data'!$D$7:$D$158)</f>
        <v>0.23</v>
      </c>
      <c r="Y52" s="165">
        <v>1.05</v>
      </c>
      <c r="Z52" s="165">
        <f t="shared" si="28"/>
        <v>0.68250000000000011</v>
      </c>
      <c r="AA52" s="165">
        <v>1.05</v>
      </c>
      <c r="AB52" s="165">
        <f t="shared" si="29"/>
        <v>0.68250000000000011</v>
      </c>
      <c r="AC52" s="165">
        <v>1</v>
      </c>
      <c r="AD52" s="165">
        <f t="shared" si="30"/>
        <v>0.7</v>
      </c>
      <c r="AE52" s="165">
        <v>0.95</v>
      </c>
      <c r="AF52" s="165">
        <f t="shared" si="31"/>
        <v>0.8075</v>
      </c>
      <c r="AG52" s="155">
        <f t="shared" si="32"/>
        <v>0.72102500000000014</v>
      </c>
      <c r="AH52" s="87">
        <f t="shared" si="64"/>
        <v>1</v>
      </c>
      <c r="AI52" s="156">
        <f t="shared" si="54"/>
        <v>0.72102500000000014</v>
      </c>
      <c r="AJ52" s="82">
        <f t="shared" si="45"/>
        <v>0.16583575000000003</v>
      </c>
      <c r="AK52" s="82">
        <f t="shared" si="55"/>
        <v>0.16583575000000003</v>
      </c>
      <c r="AL52" s="82">
        <f t="shared" si="65"/>
        <v>5.5749875232292636</v>
      </c>
      <c r="AM52" s="157">
        <f t="shared" si="56"/>
        <v>1.0034166666666673</v>
      </c>
      <c r="AN52" s="24">
        <f t="shared" si="1"/>
        <v>4.6399999999999997</v>
      </c>
      <c r="AO52" s="51"/>
      <c r="AP52" s="51">
        <f t="shared" si="66"/>
        <v>7.3311999999999999</v>
      </c>
      <c r="AQ52" s="51">
        <f t="shared" si="34"/>
        <v>186.21248</v>
      </c>
      <c r="AR52" s="24">
        <f t="shared" si="67"/>
        <v>2.7125439999999998</v>
      </c>
      <c r="AS52" s="37">
        <f t="shared" si="68"/>
        <v>4.6186559999999997</v>
      </c>
      <c r="AT52" s="24">
        <f t="shared" si="69"/>
        <v>2.2098676190465274</v>
      </c>
      <c r="AU52" s="24">
        <f t="shared" si="46"/>
        <v>2.3757033690465272</v>
      </c>
      <c r="AV52" s="24">
        <f t="shared" si="70"/>
        <v>4.9554966309534727</v>
      </c>
      <c r="AW52" s="24">
        <f t="shared" si="71"/>
        <v>1</v>
      </c>
      <c r="AX52" s="24">
        <f t="shared" si="47"/>
        <v>0</v>
      </c>
      <c r="AY52" s="25">
        <f t="shared" si="72"/>
        <v>0</v>
      </c>
      <c r="AZ52" s="24">
        <f t="shared" si="48"/>
        <v>0</v>
      </c>
      <c r="BA52" s="48">
        <f t="shared" si="37"/>
        <v>0</v>
      </c>
      <c r="BB52" s="48">
        <f t="shared" si="73"/>
        <v>0</v>
      </c>
      <c r="BC52" s="24">
        <f t="shared" si="49"/>
        <v>0</v>
      </c>
      <c r="BD52" s="51">
        <f t="shared" si="74"/>
        <v>0</v>
      </c>
      <c r="BE52" s="86">
        <f t="shared" si="50"/>
        <v>3.1992841541827346</v>
      </c>
      <c r="BF52" s="30">
        <f t="shared" si="51"/>
        <v>0</v>
      </c>
      <c r="BG52" s="30">
        <f t="shared" si="75"/>
        <v>3.1992841541827346</v>
      </c>
    </row>
    <row r="53" spans="1:59" x14ac:dyDescent="0.25">
      <c r="A53" s="15">
        <v>42198</v>
      </c>
      <c r="B53">
        <v>7440</v>
      </c>
      <c r="C53" s="54">
        <f t="shared" si="52"/>
        <v>994.65240641711227</v>
      </c>
      <c r="E53"/>
      <c r="G53" s="15"/>
      <c r="L53" s="78">
        <f t="shared" si="53"/>
        <v>994.65240641711227</v>
      </c>
      <c r="M53" s="64"/>
      <c r="N53" s="58">
        <v>42198</v>
      </c>
      <c r="O53" s="34">
        <f t="shared" si="57"/>
        <v>994.65240641711227</v>
      </c>
      <c r="P53" s="80">
        <f t="shared" si="58"/>
        <v>0.1093615495277242</v>
      </c>
      <c r="Q53" s="80">
        <f t="shared" si="25"/>
        <v>2.7777833580041946</v>
      </c>
      <c r="R53" s="79">
        <f t="shared" si="59"/>
        <v>18086.898395721928</v>
      </c>
      <c r="S53" s="81">
        <f t="shared" si="60"/>
        <v>0.41521805316166044</v>
      </c>
      <c r="T53" s="80">
        <f t="shared" si="61"/>
        <v>1.9886457037104583</v>
      </c>
      <c r="U53" s="83">
        <f>LOOKUP(N53,'weather data'!$B$7:$B$158,'weather data'!$C$7:$C$158)</f>
        <v>0</v>
      </c>
      <c r="V53" s="83">
        <f t="shared" si="62"/>
        <v>0</v>
      </c>
      <c r="W53" s="83">
        <f t="shared" si="63"/>
        <v>1.3200000000000003</v>
      </c>
      <c r="X53" s="75">
        <f>LOOKUP(N53,'weather data'!$B$7:$B$158,'weather data'!$D$7:$D$158)</f>
        <v>0.2</v>
      </c>
      <c r="Y53" s="165">
        <v>1.05</v>
      </c>
      <c r="Z53" s="165">
        <f t="shared" si="28"/>
        <v>0.68250000000000011</v>
      </c>
      <c r="AA53" s="165">
        <v>1.05</v>
      </c>
      <c r="AB53" s="165">
        <f t="shared" si="29"/>
        <v>0.68250000000000011</v>
      </c>
      <c r="AC53" s="165">
        <v>1</v>
      </c>
      <c r="AD53" s="165">
        <f t="shared" si="30"/>
        <v>0.7</v>
      </c>
      <c r="AE53" s="165">
        <v>0.95</v>
      </c>
      <c r="AF53" s="165">
        <f t="shared" si="31"/>
        <v>0.8075</v>
      </c>
      <c r="AG53" s="155">
        <f t="shared" si="32"/>
        <v>0.72102500000000014</v>
      </c>
      <c r="AH53" s="87">
        <f t="shared" si="64"/>
        <v>1</v>
      </c>
      <c r="AI53" s="156">
        <f t="shared" si="54"/>
        <v>0.72102500000000014</v>
      </c>
      <c r="AJ53" s="82">
        <f t="shared" si="45"/>
        <v>0.14420500000000003</v>
      </c>
      <c r="AK53" s="82">
        <f t="shared" si="55"/>
        <v>0.14420500000000003</v>
      </c>
      <c r="AL53" s="82">
        <f t="shared" si="65"/>
        <v>5.719192523229264</v>
      </c>
      <c r="AM53" s="157">
        <f t="shared" si="56"/>
        <v>1.0034166666666673</v>
      </c>
      <c r="AN53" s="24">
        <f t="shared" si="1"/>
        <v>4.6399999999999997</v>
      </c>
      <c r="AO53" s="51"/>
      <c r="AP53" s="51">
        <f t="shared" si="66"/>
        <v>7.3311999999999999</v>
      </c>
      <c r="AQ53" s="51">
        <f t="shared" si="34"/>
        <v>186.21248</v>
      </c>
      <c r="AR53" s="24">
        <f t="shared" si="67"/>
        <v>2.7125439999999998</v>
      </c>
      <c r="AS53" s="37">
        <f t="shared" si="68"/>
        <v>4.6186559999999997</v>
      </c>
      <c r="AT53" s="24">
        <f t="shared" si="69"/>
        <v>2.3757033690465272</v>
      </c>
      <c r="AU53" s="24">
        <f t="shared" si="46"/>
        <v>2.4105468195188031</v>
      </c>
      <c r="AV53" s="24">
        <f t="shared" si="70"/>
        <v>4.9206531804811968</v>
      </c>
      <c r="AW53" s="24">
        <f t="shared" si="71"/>
        <v>1</v>
      </c>
      <c r="AX53" s="24">
        <f t="shared" si="47"/>
        <v>0</v>
      </c>
      <c r="AY53" s="25">
        <f t="shared" si="72"/>
        <v>0</v>
      </c>
      <c r="AZ53" s="24">
        <f t="shared" si="48"/>
        <v>0</v>
      </c>
      <c r="BA53" s="48">
        <f t="shared" si="37"/>
        <v>0</v>
      </c>
      <c r="BB53" s="48">
        <f t="shared" si="73"/>
        <v>0</v>
      </c>
      <c r="BC53" s="24">
        <f t="shared" si="49"/>
        <v>0</v>
      </c>
      <c r="BD53" s="51">
        <f t="shared" si="74"/>
        <v>0</v>
      </c>
      <c r="BE53" s="86">
        <f t="shared" si="50"/>
        <v>3.3086457037104586</v>
      </c>
      <c r="BF53" s="30">
        <f t="shared" si="51"/>
        <v>0.1093615495277242</v>
      </c>
      <c r="BG53" s="30">
        <f t="shared" si="75"/>
        <v>3.3086457037104586</v>
      </c>
    </row>
    <row r="54" spans="1:59" x14ac:dyDescent="0.25">
      <c r="A54" s="15">
        <v>42199</v>
      </c>
      <c r="B54">
        <v>0</v>
      </c>
      <c r="C54" s="54">
        <f t="shared" si="52"/>
        <v>0</v>
      </c>
      <c r="E54"/>
      <c r="G54" s="15"/>
      <c r="L54" s="78">
        <f t="shared" si="53"/>
        <v>0</v>
      </c>
      <c r="M54" s="64"/>
      <c r="N54" s="58">
        <v>42199</v>
      </c>
      <c r="O54" s="34">
        <f t="shared" si="57"/>
        <v>0</v>
      </c>
      <c r="P54" s="80">
        <f t="shared" si="58"/>
        <v>0</v>
      </c>
      <c r="Q54" s="80">
        <f t="shared" si="25"/>
        <v>0</v>
      </c>
      <c r="R54" s="79">
        <f t="shared" si="59"/>
        <v>18086.898395721928</v>
      </c>
      <c r="S54" s="81">
        <f t="shared" si="60"/>
        <v>0.41521805316166044</v>
      </c>
      <c r="T54" s="80">
        <f t="shared" si="61"/>
        <v>1.9886457037104583</v>
      </c>
      <c r="U54" s="83">
        <f>LOOKUP(N54,'weather data'!$B$7:$B$158,'weather data'!$C$7:$C$158)</f>
        <v>0</v>
      </c>
      <c r="V54" s="83">
        <f t="shared" si="62"/>
        <v>0</v>
      </c>
      <c r="W54" s="83">
        <f t="shared" si="63"/>
        <v>1.3200000000000003</v>
      </c>
      <c r="X54" s="75">
        <f>LOOKUP(N54,'weather data'!$B$7:$B$158,'weather data'!$D$7:$D$158)</f>
        <v>0.23</v>
      </c>
      <c r="Y54" s="165">
        <v>1.05</v>
      </c>
      <c r="Z54" s="165">
        <f t="shared" si="28"/>
        <v>0.68250000000000011</v>
      </c>
      <c r="AA54" s="165">
        <v>1.05</v>
      </c>
      <c r="AB54" s="165">
        <f t="shared" si="29"/>
        <v>0.68250000000000011</v>
      </c>
      <c r="AC54" s="165">
        <v>1</v>
      </c>
      <c r="AD54" s="165">
        <f t="shared" si="30"/>
        <v>0.7</v>
      </c>
      <c r="AE54" s="165">
        <v>0.95</v>
      </c>
      <c r="AF54" s="165">
        <f t="shared" si="31"/>
        <v>0.8075</v>
      </c>
      <c r="AG54" s="155">
        <f t="shared" si="32"/>
        <v>0.72102500000000014</v>
      </c>
      <c r="AH54" s="87">
        <f t="shared" si="64"/>
        <v>1</v>
      </c>
      <c r="AI54" s="156">
        <f t="shared" si="54"/>
        <v>0.72102500000000014</v>
      </c>
      <c r="AJ54" s="82">
        <f t="shared" si="45"/>
        <v>0.16583575000000003</v>
      </c>
      <c r="AK54" s="82">
        <f t="shared" si="55"/>
        <v>0.16583575000000003</v>
      </c>
      <c r="AL54" s="82">
        <f t="shared" si="65"/>
        <v>5.8850282732292643</v>
      </c>
      <c r="AM54" s="157">
        <f t="shared" si="56"/>
        <v>1.0034166666666673</v>
      </c>
      <c r="AN54" s="24">
        <f t="shared" si="1"/>
        <v>4.6399999999999997</v>
      </c>
      <c r="AO54" s="51"/>
      <c r="AP54" s="51">
        <f t="shared" si="66"/>
        <v>7.3311999999999999</v>
      </c>
      <c r="AQ54" s="51">
        <f t="shared" si="34"/>
        <v>186.21248</v>
      </c>
      <c r="AR54" s="24">
        <f t="shared" si="67"/>
        <v>2.7125439999999998</v>
      </c>
      <c r="AS54" s="37">
        <f t="shared" si="68"/>
        <v>4.6186559999999997</v>
      </c>
      <c r="AT54" s="24">
        <f t="shared" si="69"/>
        <v>2.4105468195188031</v>
      </c>
      <c r="AU54" s="24">
        <f t="shared" si="46"/>
        <v>2.576382569518803</v>
      </c>
      <c r="AV54" s="24">
        <f t="shared" si="70"/>
        <v>4.7548174304811965</v>
      </c>
      <c r="AW54" s="24">
        <f t="shared" si="71"/>
        <v>1</v>
      </c>
      <c r="AX54" s="24">
        <f t="shared" si="47"/>
        <v>0</v>
      </c>
      <c r="AY54" s="25">
        <f t="shared" si="72"/>
        <v>0</v>
      </c>
      <c r="AZ54" s="24">
        <f t="shared" si="48"/>
        <v>0</v>
      </c>
      <c r="BA54" s="48">
        <f t="shared" si="37"/>
        <v>0</v>
      </c>
      <c r="BB54" s="48">
        <f t="shared" si="73"/>
        <v>0</v>
      </c>
      <c r="BC54" s="24">
        <f t="shared" si="49"/>
        <v>0</v>
      </c>
      <c r="BD54" s="51">
        <f t="shared" si="74"/>
        <v>0</v>
      </c>
      <c r="BE54" s="86">
        <f t="shared" si="50"/>
        <v>3.3086457037104586</v>
      </c>
      <c r="BF54" s="30">
        <f t="shared" si="51"/>
        <v>0</v>
      </c>
      <c r="BG54" s="30">
        <f t="shared" si="75"/>
        <v>3.3086457037104586</v>
      </c>
    </row>
    <row r="55" spans="1:59" x14ac:dyDescent="0.25">
      <c r="A55" s="15">
        <v>42200</v>
      </c>
      <c r="B55">
        <v>18920</v>
      </c>
      <c r="C55" s="54">
        <f t="shared" si="52"/>
        <v>2529.4117647058824</v>
      </c>
      <c r="E55"/>
      <c r="G55" s="15"/>
      <c r="J55" s="8"/>
      <c r="L55" s="78">
        <f t="shared" si="53"/>
        <v>2529.4117647058824</v>
      </c>
      <c r="M55" s="64"/>
      <c r="N55" s="58">
        <v>42200</v>
      </c>
      <c r="O55" s="34">
        <f t="shared" si="57"/>
        <v>2529.4117647058824</v>
      </c>
      <c r="P55" s="80">
        <f t="shared" si="58"/>
        <v>0.27810759637964277</v>
      </c>
      <c r="Q55" s="80">
        <f t="shared" si="25"/>
        <v>7.0639329480429263</v>
      </c>
      <c r="R55" s="79">
        <f t="shared" si="59"/>
        <v>20616.310160427809</v>
      </c>
      <c r="S55" s="81">
        <f t="shared" si="60"/>
        <v>0.47328535721826925</v>
      </c>
      <c r="T55" s="80">
        <f t="shared" si="61"/>
        <v>2.2667533000901008</v>
      </c>
      <c r="U55" s="83">
        <f>LOOKUP(N55,'weather data'!$B$7:$B$158,'weather data'!$C$7:$C$158)</f>
        <v>0</v>
      </c>
      <c r="V55" s="83">
        <f t="shared" si="62"/>
        <v>0</v>
      </c>
      <c r="W55" s="83">
        <f t="shared" si="63"/>
        <v>1.3200000000000003</v>
      </c>
      <c r="X55" s="75">
        <f>LOOKUP(N55,'weather data'!$B$7:$B$158,'weather data'!$D$7:$D$158)</f>
        <v>0.17</v>
      </c>
      <c r="Y55" s="165">
        <v>1.05</v>
      </c>
      <c r="Z55" s="165">
        <f t="shared" si="28"/>
        <v>0.68250000000000011</v>
      </c>
      <c r="AA55" s="165">
        <v>1.05</v>
      </c>
      <c r="AB55" s="165">
        <f t="shared" si="29"/>
        <v>0.68250000000000011</v>
      </c>
      <c r="AC55" s="165">
        <v>1</v>
      </c>
      <c r="AD55" s="165">
        <f t="shared" si="30"/>
        <v>0.7</v>
      </c>
      <c r="AE55" s="165">
        <v>0.95</v>
      </c>
      <c r="AF55" s="165">
        <f t="shared" si="31"/>
        <v>0.8075</v>
      </c>
      <c r="AG55" s="155">
        <f t="shared" si="32"/>
        <v>0.72102500000000014</v>
      </c>
      <c r="AH55" s="87">
        <f t="shared" si="64"/>
        <v>1</v>
      </c>
      <c r="AI55" s="156">
        <f t="shared" si="54"/>
        <v>0.72102500000000014</v>
      </c>
      <c r="AJ55" s="82">
        <f t="shared" si="45"/>
        <v>0.12257425000000004</v>
      </c>
      <c r="AK55" s="82">
        <f t="shared" si="55"/>
        <v>0.12257425000000004</v>
      </c>
      <c r="AL55" s="82">
        <f t="shared" si="65"/>
        <v>6.0076025232292647</v>
      </c>
      <c r="AM55" s="157">
        <f t="shared" si="56"/>
        <v>1.0034166666666673</v>
      </c>
      <c r="AN55" s="24">
        <f t="shared" si="1"/>
        <v>4.6399999999999997</v>
      </c>
      <c r="AO55" s="51"/>
      <c r="AP55" s="51">
        <f t="shared" si="66"/>
        <v>7.3311999999999999</v>
      </c>
      <c r="AQ55" s="51">
        <f t="shared" si="34"/>
        <v>186.21248</v>
      </c>
      <c r="AR55" s="24">
        <f t="shared" si="67"/>
        <v>2.7125439999999998</v>
      </c>
      <c r="AS55" s="37">
        <f t="shared" si="68"/>
        <v>4.6186559999999997</v>
      </c>
      <c r="AT55" s="24">
        <f t="shared" si="69"/>
        <v>2.576382569518803</v>
      </c>
      <c r="AU55" s="24">
        <f t="shared" si="46"/>
        <v>2.4208492231391601</v>
      </c>
      <c r="AV55" s="24">
        <f t="shared" si="70"/>
        <v>4.9103507768608399</v>
      </c>
      <c r="AW55" s="24">
        <f t="shared" si="71"/>
        <v>1</v>
      </c>
      <c r="AX55" s="24">
        <f t="shared" si="47"/>
        <v>0</v>
      </c>
      <c r="AY55" s="25">
        <f t="shared" si="72"/>
        <v>0</v>
      </c>
      <c r="AZ55" s="24">
        <f t="shared" si="48"/>
        <v>0</v>
      </c>
      <c r="BA55" s="48">
        <f t="shared" si="37"/>
        <v>0</v>
      </c>
      <c r="BB55" s="48">
        <f t="shared" si="73"/>
        <v>0</v>
      </c>
      <c r="BC55" s="24">
        <f t="shared" si="49"/>
        <v>0</v>
      </c>
      <c r="BD55" s="51">
        <f t="shared" si="74"/>
        <v>0</v>
      </c>
      <c r="BE55" s="86">
        <f t="shared" si="50"/>
        <v>3.5867533000901015</v>
      </c>
      <c r="BF55" s="30">
        <f t="shared" si="51"/>
        <v>0.27810759637964277</v>
      </c>
      <c r="BG55" s="30">
        <f t="shared" si="75"/>
        <v>3.5867533000901015</v>
      </c>
    </row>
    <row r="56" spans="1:59" x14ac:dyDescent="0.25">
      <c r="A56" s="15">
        <v>42201</v>
      </c>
      <c r="B56">
        <v>0</v>
      </c>
      <c r="C56" s="54">
        <f t="shared" si="52"/>
        <v>0</v>
      </c>
      <c r="E56"/>
      <c r="G56" s="15"/>
      <c r="J56" s="8"/>
      <c r="L56" s="78">
        <f t="shared" si="53"/>
        <v>0</v>
      </c>
      <c r="M56" s="64"/>
      <c r="N56" s="58">
        <v>42201</v>
      </c>
      <c r="O56" s="34">
        <f t="shared" si="57"/>
        <v>0</v>
      </c>
      <c r="P56" s="80">
        <f t="shared" si="58"/>
        <v>0</v>
      </c>
      <c r="Q56" s="80">
        <f t="shared" si="25"/>
        <v>0</v>
      </c>
      <c r="R56" s="79">
        <f t="shared" si="59"/>
        <v>20616.310160427809</v>
      </c>
      <c r="S56" s="81">
        <f t="shared" si="60"/>
        <v>0.47328535721826925</v>
      </c>
      <c r="T56" s="80">
        <f t="shared" si="61"/>
        <v>2.2667533000901008</v>
      </c>
      <c r="U56" s="83">
        <f>LOOKUP(N56,'weather data'!$B$7:$B$158,'weather data'!$C$7:$C$158)</f>
        <v>0</v>
      </c>
      <c r="V56" s="83">
        <f t="shared" si="62"/>
        <v>0</v>
      </c>
      <c r="W56" s="83">
        <f t="shared" si="63"/>
        <v>1.3200000000000003</v>
      </c>
      <c r="X56" s="75">
        <f>LOOKUP(N56,'weather data'!$B$7:$B$158,'weather data'!$D$7:$D$158)</f>
        <v>0.19</v>
      </c>
      <c r="Y56" s="165">
        <v>1.05</v>
      </c>
      <c r="Z56" s="165">
        <f t="shared" si="28"/>
        <v>0.68250000000000011</v>
      </c>
      <c r="AA56" s="165">
        <v>1.05</v>
      </c>
      <c r="AB56" s="165">
        <f t="shared" si="29"/>
        <v>0.68250000000000011</v>
      </c>
      <c r="AC56" s="165">
        <v>1</v>
      </c>
      <c r="AD56" s="165">
        <f t="shared" si="30"/>
        <v>0.7</v>
      </c>
      <c r="AE56" s="165">
        <v>0.95</v>
      </c>
      <c r="AF56" s="165">
        <f t="shared" si="31"/>
        <v>0.8075</v>
      </c>
      <c r="AG56" s="155">
        <f t="shared" si="32"/>
        <v>0.72102500000000014</v>
      </c>
      <c r="AH56" s="87">
        <f t="shared" si="64"/>
        <v>1</v>
      </c>
      <c r="AI56" s="156">
        <f t="shared" si="54"/>
        <v>0.72102500000000014</v>
      </c>
      <c r="AJ56" s="82">
        <f t="shared" si="45"/>
        <v>0.13699475000000003</v>
      </c>
      <c r="AK56" s="82">
        <f t="shared" si="55"/>
        <v>0.13699475000000003</v>
      </c>
      <c r="AL56" s="82">
        <f t="shared" si="65"/>
        <v>6.1445972732292651</v>
      </c>
      <c r="AM56" s="157">
        <f t="shared" si="56"/>
        <v>1.0034166666666673</v>
      </c>
      <c r="AN56" s="24">
        <f t="shared" si="1"/>
        <v>4.6399999999999997</v>
      </c>
      <c r="AO56" s="51"/>
      <c r="AP56" s="51">
        <f t="shared" si="66"/>
        <v>7.3311999999999999</v>
      </c>
      <c r="AQ56" s="51">
        <f t="shared" si="34"/>
        <v>186.21248</v>
      </c>
      <c r="AR56" s="24">
        <f t="shared" si="67"/>
        <v>2.7125439999999998</v>
      </c>
      <c r="AS56" s="37">
        <f t="shared" si="68"/>
        <v>4.6186559999999997</v>
      </c>
      <c r="AT56" s="24">
        <f t="shared" si="69"/>
        <v>2.4208492231391601</v>
      </c>
      <c r="AU56" s="24">
        <f t="shared" si="46"/>
        <v>2.55784397313916</v>
      </c>
      <c r="AV56" s="24">
        <f t="shared" si="70"/>
        <v>4.7733560268608404</v>
      </c>
      <c r="AW56" s="24">
        <f t="shared" si="71"/>
        <v>1</v>
      </c>
      <c r="AX56" s="24">
        <f t="shared" si="47"/>
        <v>0</v>
      </c>
      <c r="AY56" s="25">
        <f t="shared" si="72"/>
        <v>0</v>
      </c>
      <c r="AZ56" s="24">
        <f t="shared" si="48"/>
        <v>0</v>
      </c>
      <c r="BA56" s="48">
        <f t="shared" si="37"/>
        <v>0</v>
      </c>
      <c r="BB56" s="48">
        <f t="shared" si="73"/>
        <v>0</v>
      </c>
      <c r="BC56" s="24">
        <f t="shared" si="49"/>
        <v>0</v>
      </c>
      <c r="BD56" s="51">
        <f t="shared" si="74"/>
        <v>0</v>
      </c>
      <c r="BE56" s="86">
        <f t="shared" si="50"/>
        <v>3.5867533000901015</v>
      </c>
      <c r="BF56" s="30">
        <f t="shared" si="51"/>
        <v>0</v>
      </c>
      <c r="BG56" s="30">
        <f t="shared" si="75"/>
        <v>3.5867533000901015</v>
      </c>
    </row>
    <row r="57" spans="1:59" x14ac:dyDescent="0.25">
      <c r="A57" s="15">
        <v>42202</v>
      </c>
      <c r="B57">
        <v>0</v>
      </c>
      <c r="C57" s="54">
        <f t="shared" si="52"/>
        <v>0</v>
      </c>
      <c r="E57"/>
      <c r="G57" s="15"/>
      <c r="J57" s="8"/>
      <c r="L57" s="78">
        <f t="shared" si="53"/>
        <v>0</v>
      </c>
      <c r="M57" s="64"/>
      <c r="N57" s="58">
        <v>42202</v>
      </c>
      <c r="O57" s="34">
        <f t="shared" si="57"/>
        <v>0</v>
      </c>
      <c r="P57" s="80">
        <f t="shared" si="58"/>
        <v>0</v>
      </c>
      <c r="Q57" s="80">
        <f t="shared" si="25"/>
        <v>0</v>
      </c>
      <c r="R57" s="79">
        <f t="shared" si="59"/>
        <v>20616.310160427809</v>
      </c>
      <c r="S57" s="81">
        <f t="shared" si="60"/>
        <v>0.47328535721826925</v>
      </c>
      <c r="T57" s="80">
        <f t="shared" si="61"/>
        <v>2.2667533000901008</v>
      </c>
      <c r="U57" s="83">
        <f>LOOKUP(N57,'weather data'!$B$7:$B$158,'weather data'!$C$7:$C$158)</f>
        <v>0.01</v>
      </c>
      <c r="V57" s="83">
        <f t="shared" si="62"/>
        <v>0</v>
      </c>
      <c r="W57" s="83">
        <f t="shared" si="63"/>
        <v>1.3200000000000003</v>
      </c>
      <c r="X57" s="75">
        <f>LOOKUP(N57,'weather data'!$B$7:$B$158,'weather data'!$D$7:$D$158)</f>
        <v>0.13</v>
      </c>
      <c r="Y57" s="165">
        <v>1.05</v>
      </c>
      <c r="Z57" s="165">
        <f t="shared" si="28"/>
        <v>0.68250000000000011</v>
      </c>
      <c r="AA57" s="165">
        <v>1.05</v>
      </c>
      <c r="AB57" s="165">
        <f t="shared" si="29"/>
        <v>0.68250000000000011</v>
      </c>
      <c r="AC57" s="165">
        <v>1</v>
      </c>
      <c r="AD57" s="165">
        <f t="shared" si="30"/>
        <v>0.7</v>
      </c>
      <c r="AE57" s="165">
        <v>0.95</v>
      </c>
      <c r="AF57" s="165">
        <f t="shared" si="31"/>
        <v>0.8075</v>
      </c>
      <c r="AG57" s="155">
        <f t="shared" si="32"/>
        <v>0.72102500000000014</v>
      </c>
      <c r="AH57" s="87">
        <f t="shared" si="64"/>
        <v>1</v>
      </c>
      <c r="AI57" s="156">
        <f t="shared" si="54"/>
        <v>0.72102500000000014</v>
      </c>
      <c r="AJ57" s="82">
        <f t="shared" si="45"/>
        <v>9.3733250000000018E-2</v>
      </c>
      <c r="AK57" s="82">
        <f t="shared" si="55"/>
        <v>9.3733250000000018E-2</v>
      </c>
      <c r="AL57" s="82">
        <f t="shared" si="65"/>
        <v>6.2383305232292647</v>
      </c>
      <c r="AM57" s="157">
        <f t="shared" si="56"/>
        <v>1.0034166666666673</v>
      </c>
      <c r="AN57" s="24">
        <f t="shared" si="1"/>
        <v>4.6399999999999997</v>
      </c>
      <c r="AO57" s="51"/>
      <c r="AP57" s="51">
        <f t="shared" si="66"/>
        <v>7.3311999999999999</v>
      </c>
      <c r="AQ57" s="51">
        <f t="shared" si="34"/>
        <v>186.21248</v>
      </c>
      <c r="AR57" s="24">
        <f t="shared" si="67"/>
        <v>2.7125439999999998</v>
      </c>
      <c r="AS57" s="37">
        <f t="shared" si="68"/>
        <v>4.6186559999999997</v>
      </c>
      <c r="AT57" s="24">
        <f t="shared" si="69"/>
        <v>2.55784397313916</v>
      </c>
      <c r="AU57" s="24">
        <f t="shared" si="46"/>
        <v>2.6515772231391601</v>
      </c>
      <c r="AV57" s="24">
        <f t="shared" si="70"/>
        <v>4.6796227768608398</v>
      </c>
      <c r="AW57" s="24">
        <f t="shared" si="71"/>
        <v>1</v>
      </c>
      <c r="AX57" s="24">
        <f t="shared" si="47"/>
        <v>0</v>
      </c>
      <c r="AY57" s="25">
        <f t="shared" si="72"/>
        <v>0</v>
      </c>
      <c r="AZ57" s="24">
        <f t="shared" si="48"/>
        <v>0</v>
      </c>
      <c r="BA57" s="48">
        <f t="shared" si="37"/>
        <v>0</v>
      </c>
      <c r="BB57" s="48">
        <f t="shared" si="73"/>
        <v>0</v>
      </c>
      <c r="BC57" s="24">
        <f t="shared" si="49"/>
        <v>0</v>
      </c>
      <c r="BD57" s="51">
        <f t="shared" si="74"/>
        <v>0</v>
      </c>
      <c r="BE57" s="86">
        <f t="shared" si="50"/>
        <v>3.5867533000901015</v>
      </c>
      <c r="BF57" s="30">
        <f t="shared" si="51"/>
        <v>0</v>
      </c>
      <c r="BG57" s="30">
        <f t="shared" si="75"/>
        <v>3.5867533000901015</v>
      </c>
    </row>
    <row r="58" spans="1:59" x14ac:dyDescent="0.25">
      <c r="A58" s="15">
        <v>42203</v>
      </c>
      <c r="B58">
        <v>0</v>
      </c>
      <c r="C58" s="54">
        <f t="shared" si="52"/>
        <v>0</v>
      </c>
      <c r="E58"/>
      <c r="G58" s="15"/>
      <c r="J58" s="8"/>
      <c r="L58" s="78">
        <f t="shared" si="53"/>
        <v>0</v>
      </c>
      <c r="M58" s="64"/>
      <c r="N58" s="58">
        <v>42203</v>
      </c>
      <c r="O58" s="34">
        <f t="shared" si="57"/>
        <v>0</v>
      </c>
      <c r="P58" s="80">
        <f t="shared" si="58"/>
        <v>0</v>
      </c>
      <c r="Q58" s="80">
        <f t="shared" si="25"/>
        <v>0</v>
      </c>
      <c r="R58" s="79">
        <f t="shared" si="59"/>
        <v>20616.310160427809</v>
      </c>
      <c r="S58" s="81">
        <f t="shared" si="60"/>
        <v>0.47328535721826925</v>
      </c>
      <c r="T58" s="80">
        <f t="shared" si="61"/>
        <v>2.2667533000901008</v>
      </c>
      <c r="U58" s="83">
        <f>LOOKUP(N58,'weather data'!$B$7:$B$158,'weather data'!$C$7:$C$158)</f>
        <v>0.1</v>
      </c>
      <c r="V58" s="83">
        <f t="shared" si="62"/>
        <v>8.0000000000000016E-2</v>
      </c>
      <c r="W58" s="83">
        <f t="shared" si="63"/>
        <v>1.4000000000000004</v>
      </c>
      <c r="X58" s="75">
        <f>LOOKUP(N58,'weather data'!$B$7:$B$158,'weather data'!$D$7:$D$158)</f>
        <v>0.13</v>
      </c>
      <c r="Y58" s="165">
        <v>1.05</v>
      </c>
      <c r="Z58" s="165">
        <f t="shared" si="28"/>
        <v>0.68250000000000011</v>
      </c>
      <c r="AA58" s="165">
        <v>1.05</v>
      </c>
      <c r="AB58" s="165">
        <f t="shared" si="29"/>
        <v>0.68250000000000011</v>
      </c>
      <c r="AC58" s="165">
        <v>1</v>
      </c>
      <c r="AD58" s="165">
        <f t="shared" si="30"/>
        <v>0.7</v>
      </c>
      <c r="AE58" s="165">
        <v>0.95</v>
      </c>
      <c r="AF58" s="165">
        <f t="shared" si="31"/>
        <v>0.8075</v>
      </c>
      <c r="AG58" s="155">
        <f t="shared" si="32"/>
        <v>0.72102500000000014</v>
      </c>
      <c r="AH58" s="87">
        <f t="shared" si="64"/>
        <v>1</v>
      </c>
      <c r="AI58" s="156">
        <f t="shared" si="54"/>
        <v>0.72102500000000014</v>
      </c>
      <c r="AJ58" s="82">
        <f t="shared" si="45"/>
        <v>9.3733250000000018E-2</v>
      </c>
      <c r="AK58" s="82">
        <f t="shared" si="55"/>
        <v>9.3733250000000018E-2</v>
      </c>
      <c r="AL58" s="82">
        <f t="shared" si="65"/>
        <v>6.3320637732292644</v>
      </c>
      <c r="AM58" s="157">
        <f t="shared" si="56"/>
        <v>1.0034166666666673</v>
      </c>
      <c r="AN58" s="24">
        <f t="shared" si="1"/>
        <v>4.6399999999999997</v>
      </c>
      <c r="AO58" s="51"/>
      <c r="AP58" s="51">
        <f t="shared" si="66"/>
        <v>7.3311999999999999</v>
      </c>
      <c r="AQ58" s="51">
        <f t="shared" si="34"/>
        <v>186.21248</v>
      </c>
      <c r="AR58" s="24">
        <f t="shared" si="67"/>
        <v>2.7125439999999998</v>
      </c>
      <c r="AS58" s="37">
        <f t="shared" si="68"/>
        <v>4.6186559999999997</v>
      </c>
      <c r="AT58" s="24">
        <f t="shared" si="69"/>
        <v>2.6515772231391601</v>
      </c>
      <c r="AU58" s="24">
        <f t="shared" si="46"/>
        <v>2.6653104731391601</v>
      </c>
      <c r="AV58" s="24">
        <f t="shared" si="70"/>
        <v>4.6658895268608394</v>
      </c>
      <c r="AW58" s="24">
        <f t="shared" si="71"/>
        <v>1</v>
      </c>
      <c r="AX58" s="24">
        <f t="shared" si="47"/>
        <v>0</v>
      </c>
      <c r="AY58" s="25">
        <f t="shared" si="72"/>
        <v>0</v>
      </c>
      <c r="AZ58" s="24">
        <f t="shared" si="48"/>
        <v>0</v>
      </c>
      <c r="BA58" s="48">
        <f t="shared" si="37"/>
        <v>0</v>
      </c>
      <c r="BB58" s="48">
        <f t="shared" si="73"/>
        <v>0</v>
      </c>
      <c r="BC58" s="24">
        <f t="shared" si="49"/>
        <v>0</v>
      </c>
      <c r="BD58" s="51">
        <f t="shared" si="74"/>
        <v>0</v>
      </c>
      <c r="BE58" s="86">
        <f t="shared" si="50"/>
        <v>3.6667533000901016</v>
      </c>
      <c r="BF58" s="30">
        <f t="shared" si="51"/>
        <v>8.0000000000000016E-2</v>
      </c>
      <c r="BG58" s="30">
        <f t="shared" si="75"/>
        <v>3.6667533000901016</v>
      </c>
    </row>
    <row r="59" spans="1:59" x14ac:dyDescent="0.25">
      <c r="A59" s="15">
        <v>42204</v>
      </c>
      <c r="B59">
        <v>0</v>
      </c>
      <c r="C59" s="54">
        <f t="shared" si="52"/>
        <v>0</v>
      </c>
      <c r="E59"/>
      <c r="G59" s="15"/>
      <c r="J59" s="8"/>
      <c r="L59" s="78">
        <f t="shared" si="53"/>
        <v>0</v>
      </c>
      <c r="M59" s="64"/>
      <c r="N59" s="58">
        <v>42204</v>
      </c>
      <c r="O59" s="34">
        <f t="shared" si="57"/>
        <v>0</v>
      </c>
      <c r="P59" s="80">
        <f t="shared" si="58"/>
        <v>0</v>
      </c>
      <c r="Q59" s="80">
        <f t="shared" si="25"/>
        <v>0</v>
      </c>
      <c r="R59" s="79">
        <f t="shared" si="59"/>
        <v>20616.310160427809</v>
      </c>
      <c r="S59" s="81">
        <f t="shared" si="60"/>
        <v>0.47328535721826925</v>
      </c>
      <c r="T59" s="80">
        <f t="shared" si="61"/>
        <v>2.2667533000901008</v>
      </c>
      <c r="U59" s="83">
        <f>LOOKUP(N59,'weather data'!$B$7:$B$158,'weather data'!$C$7:$C$158)</f>
        <v>0</v>
      </c>
      <c r="V59" s="83">
        <f t="shared" si="62"/>
        <v>0</v>
      </c>
      <c r="W59" s="83">
        <f t="shared" si="63"/>
        <v>1.4000000000000004</v>
      </c>
      <c r="X59" s="75">
        <f>LOOKUP(N59,'weather data'!$B$7:$B$158,'weather data'!$D$7:$D$158)</f>
        <v>0.21</v>
      </c>
      <c r="Y59" s="165">
        <v>1.05</v>
      </c>
      <c r="Z59" s="165">
        <f t="shared" si="28"/>
        <v>0.68250000000000011</v>
      </c>
      <c r="AA59" s="165">
        <v>1.05</v>
      </c>
      <c r="AB59" s="165">
        <f t="shared" si="29"/>
        <v>0.68250000000000011</v>
      </c>
      <c r="AC59" s="165">
        <v>1</v>
      </c>
      <c r="AD59" s="165">
        <f t="shared" si="30"/>
        <v>0.7</v>
      </c>
      <c r="AE59" s="165">
        <v>0.95</v>
      </c>
      <c r="AF59" s="165">
        <f t="shared" si="31"/>
        <v>0.8075</v>
      </c>
      <c r="AG59" s="155">
        <f t="shared" si="32"/>
        <v>0.72102500000000014</v>
      </c>
      <c r="AH59" s="87">
        <f t="shared" si="64"/>
        <v>1</v>
      </c>
      <c r="AI59" s="156">
        <f t="shared" si="54"/>
        <v>0.72102500000000014</v>
      </c>
      <c r="AJ59" s="82">
        <f t="shared" si="45"/>
        <v>0.15141525000000003</v>
      </c>
      <c r="AK59" s="82">
        <f t="shared" si="55"/>
        <v>0.15141525000000003</v>
      </c>
      <c r="AL59" s="82">
        <f t="shared" si="65"/>
        <v>6.4834790232292647</v>
      </c>
      <c r="AM59" s="157">
        <f t="shared" si="56"/>
        <v>1.0034166666666673</v>
      </c>
      <c r="AN59" s="24">
        <f t="shared" si="1"/>
        <v>4.6399999999999997</v>
      </c>
      <c r="AO59" s="51"/>
      <c r="AP59" s="51">
        <f t="shared" si="66"/>
        <v>7.3311999999999999</v>
      </c>
      <c r="AQ59" s="51">
        <f t="shared" si="34"/>
        <v>186.21248</v>
      </c>
      <c r="AR59" s="24">
        <f t="shared" si="67"/>
        <v>2.7125439999999998</v>
      </c>
      <c r="AS59" s="37">
        <f t="shared" si="68"/>
        <v>4.6186559999999997</v>
      </c>
      <c r="AT59" s="24">
        <f t="shared" si="69"/>
        <v>2.6653104731391601</v>
      </c>
      <c r="AU59" s="24">
        <f t="shared" si="46"/>
        <v>2.81672572313916</v>
      </c>
      <c r="AV59" s="24">
        <f t="shared" si="70"/>
        <v>4.5144742768608399</v>
      </c>
      <c r="AW59" s="24">
        <f t="shared" si="71"/>
        <v>1</v>
      </c>
      <c r="AX59" s="24">
        <f t="shared" si="47"/>
        <v>0</v>
      </c>
      <c r="AY59" s="25">
        <f t="shared" si="72"/>
        <v>0</v>
      </c>
      <c r="AZ59" s="24">
        <f t="shared" si="48"/>
        <v>0</v>
      </c>
      <c r="BA59" s="48">
        <f t="shared" si="37"/>
        <v>0</v>
      </c>
      <c r="BB59" s="48">
        <f t="shared" si="73"/>
        <v>0</v>
      </c>
      <c r="BC59" s="24">
        <f t="shared" si="49"/>
        <v>0</v>
      </c>
      <c r="BD59" s="51">
        <f t="shared" si="74"/>
        <v>0</v>
      </c>
      <c r="BE59" s="86">
        <f t="shared" si="50"/>
        <v>3.6667533000901016</v>
      </c>
      <c r="BF59" s="30">
        <f t="shared" si="51"/>
        <v>0</v>
      </c>
      <c r="BG59" s="30">
        <f t="shared" si="75"/>
        <v>3.6667533000901016</v>
      </c>
    </row>
    <row r="60" spans="1:59" x14ac:dyDescent="0.25">
      <c r="A60" s="15">
        <v>42205</v>
      </c>
      <c r="B60">
        <v>0</v>
      </c>
      <c r="C60" s="54">
        <f t="shared" si="52"/>
        <v>0</v>
      </c>
      <c r="E60"/>
      <c r="G60" s="15"/>
      <c r="J60" s="8"/>
      <c r="L60" s="78">
        <f t="shared" si="53"/>
        <v>0</v>
      </c>
      <c r="M60" s="64"/>
      <c r="N60" s="58">
        <v>42205</v>
      </c>
      <c r="O60" s="34">
        <f t="shared" si="57"/>
        <v>0</v>
      </c>
      <c r="P60" s="80">
        <f t="shared" si="58"/>
        <v>0</v>
      </c>
      <c r="Q60" s="80">
        <f t="shared" si="25"/>
        <v>0</v>
      </c>
      <c r="R60" s="79">
        <f t="shared" si="59"/>
        <v>20616.310160427809</v>
      </c>
      <c r="S60" s="81">
        <f t="shared" si="60"/>
        <v>0.47328535721826925</v>
      </c>
      <c r="T60" s="80">
        <f t="shared" si="61"/>
        <v>2.2667533000901008</v>
      </c>
      <c r="U60" s="83">
        <f>LOOKUP(N60,'weather data'!$B$7:$B$158,'weather data'!$C$7:$C$158)</f>
        <v>0.02</v>
      </c>
      <c r="V60" s="83">
        <f t="shared" si="62"/>
        <v>0</v>
      </c>
      <c r="W60" s="83">
        <f t="shared" si="63"/>
        <v>1.4000000000000004</v>
      </c>
      <c r="X60" s="75">
        <f>LOOKUP(N60,'weather data'!$B$7:$B$158,'weather data'!$D$7:$D$158)</f>
        <v>0.16</v>
      </c>
      <c r="Y60" s="165">
        <v>1.05</v>
      </c>
      <c r="Z60" s="165">
        <f t="shared" si="28"/>
        <v>0.68250000000000011</v>
      </c>
      <c r="AA60" s="165">
        <v>1.05</v>
      </c>
      <c r="AB60" s="165">
        <f t="shared" si="29"/>
        <v>0.68250000000000011</v>
      </c>
      <c r="AC60" s="165">
        <v>1</v>
      </c>
      <c r="AD60" s="165">
        <f t="shared" si="30"/>
        <v>0.7</v>
      </c>
      <c r="AE60" s="165">
        <v>0.95</v>
      </c>
      <c r="AF60" s="165">
        <f t="shared" si="31"/>
        <v>0.8075</v>
      </c>
      <c r="AG60" s="155">
        <f t="shared" si="32"/>
        <v>0.72102500000000014</v>
      </c>
      <c r="AH60" s="87">
        <f t="shared" si="64"/>
        <v>0.97744328152190596</v>
      </c>
      <c r="AI60" s="156">
        <f t="shared" si="54"/>
        <v>0.70476104205933243</v>
      </c>
      <c r="AJ60" s="82">
        <f t="shared" si="45"/>
        <v>0.11536400000000002</v>
      </c>
      <c r="AK60" s="82">
        <f t="shared" si="55"/>
        <v>0.11276176672949319</v>
      </c>
      <c r="AL60" s="82">
        <f t="shared" si="65"/>
        <v>6.5962407899587578</v>
      </c>
      <c r="AM60" s="157">
        <f t="shared" si="56"/>
        <v>1.0034166666666673</v>
      </c>
      <c r="AN60" s="24">
        <f t="shared" si="1"/>
        <v>4.6399999999999997</v>
      </c>
      <c r="AO60" s="51"/>
      <c r="AP60" s="51">
        <f t="shared" si="66"/>
        <v>7.3311999999999999</v>
      </c>
      <c r="AQ60" s="51">
        <f t="shared" si="34"/>
        <v>186.21248</v>
      </c>
      <c r="AR60" s="24">
        <f t="shared" si="67"/>
        <v>2.7125439999999998</v>
      </c>
      <c r="AS60" s="37">
        <f t="shared" si="68"/>
        <v>4.6186559999999997</v>
      </c>
      <c r="AT60" s="24">
        <f t="shared" si="69"/>
        <v>2.81672572313916</v>
      </c>
      <c r="AU60" s="24">
        <f t="shared" si="46"/>
        <v>2.9294874898686531</v>
      </c>
      <c r="AV60" s="24">
        <f t="shared" si="70"/>
        <v>4.4017125101313468</v>
      </c>
      <c r="AW60" s="24">
        <f t="shared" si="71"/>
        <v>0.97744328152190607</v>
      </c>
      <c r="AX60" s="24">
        <f t="shared" si="47"/>
        <v>0</v>
      </c>
      <c r="AY60" s="25">
        <f t="shared" si="72"/>
        <v>0</v>
      </c>
      <c r="AZ60" s="24">
        <f t="shared" si="48"/>
        <v>0</v>
      </c>
      <c r="BA60" s="48">
        <f t="shared" si="37"/>
        <v>0</v>
      </c>
      <c r="BB60" s="48">
        <f t="shared" si="73"/>
        <v>0</v>
      </c>
      <c r="BC60" s="24">
        <f t="shared" si="49"/>
        <v>0</v>
      </c>
      <c r="BD60" s="51">
        <f t="shared" si="74"/>
        <v>0</v>
      </c>
      <c r="BE60" s="86">
        <f t="shared" si="50"/>
        <v>3.6667533000901016</v>
      </c>
      <c r="BF60" s="30">
        <f t="shared" si="51"/>
        <v>0</v>
      </c>
      <c r="BG60" s="30">
        <f t="shared" si="75"/>
        <v>3.6667533000901016</v>
      </c>
    </row>
    <row r="61" spans="1:59" x14ac:dyDescent="0.25">
      <c r="A61" s="15">
        <v>42206</v>
      </c>
      <c r="B61">
        <v>18250</v>
      </c>
      <c r="C61" s="54">
        <f t="shared" si="52"/>
        <v>2439.8395721925131</v>
      </c>
      <c r="E61"/>
      <c r="G61" s="15"/>
      <c r="J61" s="8"/>
      <c r="L61" s="78">
        <f t="shared" si="53"/>
        <v>2439.8395721925131</v>
      </c>
      <c r="M61" s="64"/>
      <c r="N61" s="58">
        <v>42206</v>
      </c>
      <c r="O61" s="34">
        <f t="shared" si="57"/>
        <v>2439.8395721925131</v>
      </c>
      <c r="P61" s="80">
        <f t="shared" si="58"/>
        <v>0.2682591772689471</v>
      </c>
      <c r="Q61" s="80">
        <f t="shared" si="25"/>
        <v>6.8137831026312563</v>
      </c>
      <c r="R61" s="79">
        <f t="shared" si="59"/>
        <v>23056.149732620321</v>
      </c>
      <c r="S61" s="81">
        <f t="shared" si="60"/>
        <v>0.52929636668090729</v>
      </c>
      <c r="T61" s="80">
        <f t="shared" si="61"/>
        <v>2.5350124773590479</v>
      </c>
      <c r="U61" s="83">
        <f>LOOKUP(N61,'weather data'!$B$7:$B$158,'weather data'!$C$7:$C$158)</f>
        <v>0</v>
      </c>
      <c r="V61" s="83">
        <f t="shared" si="62"/>
        <v>0</v>
      </c>
      <c r="W61" s="83">
        <f t="shared" si="63"/>
        <v>1.4000000000000004</v>
      </c>
      <c r="X61" s="75">
        <f>LOOKUP(N61,'weather data'!$B$7:$B$158,'weather data'!$D$7:$D$158)</f>
        <v>0.19</v>
      </c>
      <c r="Y61" s="165">
        <v>1.05</v>
      </c>
      <c r="Z61" s="165">
        <f t="shared" si="28"/>
        <v>0.68250000000000011</v>
      </c>
      <c r="AA61" s="165">
        <v>1.05</v>
      </c>
      <c r="AB61" s="165">
        <f t="shared" si="29"/>
        <v>0.68250000000000011</v>
      </c>
      <c r="AC61" s="165">
        <v>1</v>
      </c>
      <c r="AD61" s="165">
        <f t="shared" si="30"/>
        <v>0.7</v>
      </c>
      <c r="AE61" s="165">
        <v>0.95</v>
      </c>
      <c r="AF61" s="165">
        <f t="shared" si="31"/>
        <v>0.8075</v>
      </c>
      <c r="AG61" s="155">
        <f t="shared" si="32"/>
        <v>0.72102500000000014</v>
      </c>
      <c r="AH61" s="87">
        <f t="shared" si="64"/>
        <v>0.95302887033183403</v>
      </c>
      <c r="AI61" s="156">
        <f t="shared" si="54"/>
        <v>0.68715764123101075</v>
      </c>
      <c r="AJ61" s="82">
        <f t="shared" si="45"/>
        <v>0.13699475000000003</v>
      </c>
      <c r="AK61" s="82">
        <f t="shared" si="55"/>
        <v>0.13055995183389205</v>
      </c>
      <c r="AL61" s="82">
        <f t="shared" si="65"/>
        <v>6.7268007417926503</v>
      </c>
      <c r="AM61" s="157">
        <f t="shared" si="56"/>
        <v>1.0034166666666673</v>
      </c>
      <c r="AN61" s="24">
        <f t="shared" si="1"/>
        <v>4.6399999999999997</v>
      </c>
      <c r="AO61" s="51"/>
      <c r="AP61" s="51">
        <f t="shared" si="66"/>
        <v>7.3311999999999999</v>
      </c>
      <c r="AQ61" s="51">
        <f t="shared" si="34"/>
        <v>186.21248</v>
      </c>
      <c r="AR61" s="24">
        <f t="shared" si="67"/>
        <v>2.7125439999999998</v>
      </c>
      <c r="AS61" s="37">
        <f t="shared" si="68"/>
        <v>4.6186559999999997</v>
      </c>
      <c r="AT61" s="24">
        <f t="shared" si="69"/>
        <v>2.9294874898686531</v>
      </c>
      <c r="AU61" s="24">
        <f t="shared" si="46"/>
        <v>2.7917882644335981</v>
      </c>
      <c r="AV61" s="24">
        <f t="shared" si="70"/>
        <v>4.5394117355664019</v>
      </c>
      <c r="AW61" s="24">
        <f t="shared" si="71"/>
        <v>0.95302887033183403</v>
      </c>
      <c r="AX61" s="24">
        <f t="shared" si="47"/>
        <v>0</v>
      </c>
      <c r="AY61" s="25">
        <f t="shared" si="72"/>
        <v>0</v>
      </c>
      <c r="AZ61" s="24">
        <f t="shared" si="48"/>
        <v>0</v>
      </c>
      <c r="BA61" s="48">
        <f t="shared" si="37"/>
        <v>0</v>
      </c>
      <c r="BB61" s="48">
        <f t="shared" si="73"/>
        <v>0</v>
      </c>
      <c r="BC61" s="24">
        <f t="shared" si="49"/>
        <v>0</v>
      </c>
      <c r="BD61" s="51">
        <f t="shared" si="74"/>
        <v>0</v>
      </c>
      <c r="BE61" s="86">
        <f t="shared" si="50"/>
        <v>3.9350124773590487</v>
      </c>
      <c r="BF61" s="30">
        <f t="shared" si="51"/>
        <v>0.2682591772689471</v>
      </c>
      <c r="BG61" s="30">
        <f t="shared" si="75"/>
        <v>3.9350124773590487</v>
      </c>
    </row>
    <row r="62" spans="1:59" x14ac:dyDescent="0.25">
      <c r="A62" s="15">
        <v>42207</v>
      </c>
      <c r="B62">
        <v>100</v>
      </c>
      <c r="C62" s="54">
        <f t="shared" si="52"/>
        <v>13.36898395721925</v>
      </c>
      <c r="E62"/>
      <c r="G62" s="15"/>
      <c r="J62" s="8"/>
      <c r="L62" s="78">
        <f t="shared" si="53"/>
        <v>13.36898395721925</v>
      </c>
      <c r="M62" s="64"/>
      <c r="N62" s="58">
        <v>42207</v>
      </c>
      <c r="O62" s="34">
        <f t="shared" si="57"/>
        <v>13.36898395721925</v>
      </c>
      <c r="P62" s="80">
        <f t="shared" si="58"/>
        <v>1.46991330010382E-3</v>
      </c>
      <c r="Q62" s="80">
        <f t="shared" si="25"/>
        <v>3.7335797822637025E-2</v>
      </c>
      <c r="R62" s="79">
        <f t="shared" si="59"/>
        <v>23069.518716577539</v>
      </c>
      <c r="S62" s="81">
        <f t="shared" si="60"/>
        <v>0.52960327632179838</v>
      </c>
      <c r="T62" s="80">
        <f t="shared" si="61"/>
        <v>2.5364823906591516</v>
      </c>
      <c r="U62" s="83">
        <f>LOOKUP(N62,'weather data'!$B$7:$B$158,'weather data'!$C$7:$C$158)</f>
        <v>0</v>
      </c>
      <c r="V62" s="83">
        <f t="shared" si="62"/>
        <v>0</v>
      </c>
      <c r="W62" s="83">
        <f t="shared" si="63"/>
        <v>1.4000000000000004</v>
      </c>
      <c r="X62" s="75">
        <f>LOOKUP(N62,'weather data'!$B$7:$B$158,'weather data'!$D$7:$D$158)</f>
        <v>0.23</v>
      </c>
      <c r="Y62" s="165">
        <v>1.05</v>
      </c>
      <c r="Z62" s="165">
        <f t="shared" si="28"/>
        <v>0.68250000000000011</v>
      </c>
      <c r="AA62" s="165">
        <v>1.05</v>
      </c>
      <c r="AB62" s="165">
        <f t="shared" si="29"/>
        <v>0.68250000000000011</v>
      </c>
      <c r="AC62" s="165">
        <v>1</v>
      </c>
      <c r="AD62" s="165">
        <f t="shared" si="30"/>
        <v>0.7</v>
      </c>
      <c r="AE62" s="165">
        <v>0.95</v>
      </c>
      <c r="AF62" s="165">
        <f t="shared" si="31"/>
        <v>0.8075</v>
      </c>
      <c r="AG62" s="155">
        <f t="shared" si="32"/>
        <v>0.72102500000000014</v>
      </c>
      <c r="AH62" s="87">
        <f t="shared" si="64"/>
        <v>0.98284257055870849</v>
      </c>
      <c r="AI62" s="156">
        <f t="shared" si="54"/>
        <v>0.70865406443709289</v>
      </c>
      <c r="AJ62" s="82">
        <f t="shared" si="45"/>
        <v>0.16583575000000003</v>
      </c>
      <c r="AK62" s="82">
        <f t="shared" si="55"/>
        <v>0.16299043482053138</v>
      </c>
      <c r="AL62" s="82">
        <f t="shared" si="65"/>
        <v>6.8897911766131816</v>
      </c>
      <c r="AM62" s="157">
        <f t="shared" si="56"/>
        <v>1.0034166666666673</v>
      </c>
      <c r="AN62" s="24">
        <f t="shared" si="1"/>
        <v>4.6399999999999997</v>
      </c>
      <c r="AO62" s="51"/>
      <c r="AP62" s="51">
        <f t="shared" si="66"/>
        <v>7.3311999999999999</v>
      </c>
      <c r="AQ62" s="51">
        <f t="shared" si="34"/>
        <v>186.21248</v>
      </c>
      <c r="AR62" s="24">
        <f t="shared" si="67"/>
        <v>2.7125439999999998</v>
      </c>
      <c r="AS62" s="37">
        <f t="shared" si="68"/>
        <v>4.6186559999999997</v>
      </c>
      <c r="AT62" s="24">
        <f t="shared" si="69"/>
        <v>2.7917882644335981</v>
      </c>
      <c r="AU62" s="24">
        <f t="shared" si="46"/>
        <v>2.9533087859540257</v>
      </c>
      <c r="AV62" s="24">
        <f t="shared" si="70"/>
        <v>4.3778912140459738</v>
      </c>
      <c r="AW62" s="24">
        <f t="shared" si="71"/>
        <v>0.98284257055870849</v>
      </c>
      <c r="AX62" s="24">
        <f t="shared" si="47"/>
        <v>0</v>
      </c>
      <c r="AY62" s="25">
        <f t="shared" si="72"/>
        <v>0</v>
      </c>
      <c r="AZ62" s="24">
        <f t="shared" si="48"/>
        <v>0</v>
      </c>
      <c r="BA62" s="48">
        <f t="shared" si="37"/>
        <v>0</v>
      </c>
      <c r="BB62" s="48">
        <f t="shared" si="73"/>
        <v>0</v>
      </c>
      <c r="BC62" s="24">
        <f t="shared" si="49"/>
        <v>0</v>
      </c>
      <c r="BD62" s="51">
        <f t="shared" si="74"/>
        <v>0</v>
      </c>
      <c r="BE62" s="86">
        <f t="shared" si="50"/>
        <v>3.9364823906591524</v>
      </c>
      <c r="BF62" s="30">
        <f t="shared" si="51"/>
        <v>1.46991330010382E-3</v>
      </c>
      <c r="BG62" s="30">
        <f t="shared" si="75"/>
        <v>3.9364823906591524</v>
      </c>
    </row>
    <row r="63" spans="1:59" x14ac:dyDescent="0.25">
      <c r="A63" s="15">
        <v>42208</v>
      </c>
      <c r="B63">
        <v>26080</v>
      </c>
      <c r="C63" s="54">
        <f t="shared" si="52"/>
        <v>3486.6310160427806</v>
      </c>
      <c r="E63"/>
      <c r="G63" s="15"/>
      <c r="J63" s="8"/>
      <c r="L63" s="78">
        <f t="shared" si="53"/>
        <v>3486.6310160427806</v>
      </c>
      <c r="M63" s="64"/>
      <c r="N63" s="58">
        <v>42208</v>
      </c>
      <c r="O63" s="34">
        <f t="shared" si="57"/>
        <v>3486.6310160427806</v>
      </c>
      <c r="P63" s="80">
        <f t="shared" si="58"/>
        <v>0.38335338866707624</v>
      </c>
      <c r="Q63" s="80">
        <f t="shared" si="25"/>
        <v>9.7371760721437361</v>
      </c>
      <c r="R63" s="79">
        <f t="shared" si="59"/>
        <v>26556.149732620321</v>
      </c>
      <c r="S63" s="81">
        <f t="shared" si="60"/>
        <v>0.60964531066621486</v>
      </c>
      <c r="T63" s="80">
        <f t="shared" si="61"/>
        <v>2.919835779326228</v>
      </c>
      <c r="U63" s="83">
        <f>LOOKUP(N63,'weather data'!$B$7:$B$158,'weather data'!$C$7:$C$158)</f>
        <v>0.01</v>
      </c>
      <c r="V63" s="83">
        <f t="shared" si="62"/>
        <v>0</v>
      </c>
      <c r="W63" s="83">
        <f t="shared" si="63"/>
        <v>1.4000000000000004</v>
      </c>
      <c r="X63" s="75">
        <f>LOOKUP(N63,'weather data'!$B$7:$B$158,'weather data'!$D$7:$D$158)</f>
        <v>0.22</v>
      </c>
      <c r="Y63" s="165">
        <v>1.05</v>
      </c>
      <c r="Z63" s="165">
        <f t="shared" si="28"/>
        <v>0.68250000000000011</v>
      </c>
      <c r="AA63" s="165">
        <v>1.05</v>
      </c>
      <c r="AB63" s="165">
        <f t="shared" si="29"/>
        <v>0.68250000000000011</v>
      </c>
      <c r="AC63" s="165">
        <v>1</v>
      </c>
      <c r="AD63" s="165">
        <f t="shared" si="30"/>
        <v>0.7</v>
      </c>
      <c r="AE63" s="165">
        <v>0.95</v>
      </c>
      <c r="AF63" s="165">
        <f t="shared" si="31"/>
        <v>0.8075</v>
      </c>
      <c r="AG63" s="155">
        <f t="shared" si="32"/>
        <v>0.72102500000000014</v>
      </c>
      <c r="AH63" s="87">
        <f t="shared" si="64"/>
        <v>0.94787124523800304</v>
      </c>
      <c r="AI63" s="156">
        <f t="shared" si="54"/>
        <v>0.68343886459773129</v>
      </c>
      <c r="AJ63" s="82">
        <f t="shared" si="45"/>
        <v>0.15862550000000003</v>
      </c>
      <c r="AK63" s="82">
        <f t="shared" si="55"/>
        <v>0.15035655021150088</v>
      </c>
      <c r="AL63" s="82">
        <f t="shared" si="65"/>
        <v>7.0401477268246824</v>
      </c>
      <c r="AM63" s="157">
        <f t="shared" si="56"/>
        <v>1.0034166666666673</v>
      </c>
      <c r="AN63" s="24">
        <f t="shared" si="1"/>
        <v>4.6399999999999997</v>
      </c>
      <c r="AO63" s="51"/>
      <c r="AP63" s="51">
        <f t="shared" si="66"/>
        <v>7.3311999999999999</v>
      </c>
      <c r="AQ63" s="51">
        <f t="shared" si="34"/>
        <v>186.21248</v>
      </c>
      <c r="AR63" s="24">
        <f t="shared" si="67"/>
        <v>2.7125439999999998</v>
      </c>
      <c r="AS63" s="37">
        <f t="shared" si="68"/>
        <v>4.6186559999999997</v>
      </c>
      <c r="AT63" s="24">
        <f t="shared" si="69"/>
        <v>2.9533087859540257</v>
      </c>
      <c r="AU63" s="24">
        <f t="shared" si="46"/>
        <v>2.7203119474984501</v>
      </c>
      <c r="AV63" s="24">
        <f t="shared" si="70"/>
        <v>4.6108880525015499</v>
      </c>
      <c r="AW63" s="24">
        <f t="shared" si="71"/>
        <v>0.94787124523800304</v>
      </c>
      <c r="AX63" s="24">
        <f t="shared" si="47"/>
        <v>0</v>
      </c>
      <c r="AY63" s="25">
        <f t="shared" si="72"/>
        <v>0</v>
      </c>
      <c r="AZ63" s="24">
        <f t="shared" si="48"/>
        <v>0</v>
      </c>
      <c r="BA63" s="48">
        <f t="shared" si="37"/>
        <v>0</v>
      </c>
      <c r="BB63" s="48">
        <f t="shared" si="73"/>
        <v>0</v>
      </c>
      <c r="BC63" s="24">
        <f t="shared" si="49"/>
        <v>0</v>
      </c>
      <c r="BD63" s="51">
        <f t="shared" si="74"/>
        <v>0</v>
      </c>
      <c r="BE63" s="86">
        <f t="shared" si="50"/>
        <v>4.3198357793262288</v>
      </c>
      <c r="BF63" s="30">
        <f t="shared" si="51"/>
        <v>0.38335338866707624</v>
      </c>
      <c r="BG63" s="30">
        <f t="shared" si="75"/>
        <v>4.3198357793262288</v>
      </c>
    </row>
    <row r="64" spans="1:59" x14ac:dyDescent="0.25">
      <c r="A64" s="15">
        <v>42209</v>
      </c>
      <c r="B64">
        <v>4710</v>
      </c>
      <c r="C64" s="54">
        <f t="shared" si="52"/>
        <v>629.67914438502669</v>
      </c>
      <c r="E64"/>
      <c r="G64" s="15"/>
      <c r="J64" s="8"/>
      <c r="L64" s="78">
        <f t="shared" si="53"/>
        <v>629.67914438502669</v>
      </c>
      <c r="M64" s="64"/>
      <c r="N64" s="58">
        <v>42209</v>
      </c>
      <c r="O64" s="34">
        <f t="shared" si="57"/>
        <v>629.67914438502669</v>
      </c>
      <c r="P64" s="80">
        <f t="shared" si="58"/>
        <v>6.9232916434889921E-2</v>
      </c>
      <c r="Q64" s="80">
        <f t="shared" si="25"/>
        <v>1.7585160774462039</v>
      </c>
      <c r="R64" s="79">
        <f t="shared" si="59"/>
        <v>27185.828877005348</v>
      </c>
      <c r="S64" s="81">
        <f t="shared" si="60"/>
        <v>0.62410075475218885</v>
      </c>
      <c r="T64" s="80">
        <f t="shared" si="61"/>
        <v>2.9890686957611177</v>
      </c>
      <c r="U64" s="83">
        <f>LOOKUP(N64,'weather data'!$B$7:$B$158,'weather data'!$C$7:$C$158)</f>
        <v>0</v>
      </c>
      <c r="V64" s="83">
        <f t="shared" si="62"/>
        <v>0</v>
      </c>
      <c r="W64" s="83">
        <f t="shared" si="63"/>
        <v>1.4000000000000004</v>
      </c>
      <c r="X64" s="75">
        <f>LOOKUP(N64,'weather data'!$B$7:$B$158,'weather data'!$D$7:$D$158)</f>
        <v>0.23</v>
      </c>
      <c r="Y64" s="165">
        <v>1.05</v>
      </c>
      <c r="Z64" s="165">
        <f t="shared" si="28"/>
        <v>0.68250000000000011</v>
      </c>
      <c r="AA64" s="165">
        <v>1.05</v>
      </c>
      <c r="AB64" s="165">
        <f t="shared" si="29"/>
        <v>0.68250000000000011</v>
      </c>
      <c r="AC64" s="165">
        <v>1</v>
      </c>
      <c r="AD64" s="165">
        <f t="shared" si="30"/>
        <v>0.7</v>
      </c>
      <c r="AE64" s="165">
        <v>0.95</v>
      </c>
      <c r="AF64" s="165">
        <f t="shared" si="31"/>
        <v>0.8075</v>
      </c>
      <c r="AG64" s="155">
        <f t="shared" si="32"/>
        <v>0.72102500000000014</v>
      </c>
      <c r="AH64" s="87">
        <f t="shared" si="64"/>
        <v>0.99831813681329595</v>
      </c>
      <c r="AI64" s="156">
        <f t="shared" si="54"/>
        <v>0.71981233459580685</v>
      </c>
      <c r="AJ64" s="82">
        <f t="shared" si="45"/>
        <v>0.16583575000000003</v>
      </c>
      <c r="AK64" s="82">
        <f t="shared" si="55"/>
        <v>0.16555683695703557</v>
      </c>
      <c r="AL64" s="82">
        <f t="shared" si="65"/>
        <v>7.2057045637817181</v>
      </c>
      <c r="AM64" s="157">
        <f t="shared" si="56"/>
        <v>1.0034166666666673</v>
      </c>
      <c r="AN64" s="24">
        <f t="shared" si="1"/>
        <v>4.6399999999999997</v>
      </c>
      <c r="AO64" s="51"/>
      <c r="AP64" s="51">
        <f t="shared" si="66"/>
        <v>7.3311999999999999</v>
      </c>
      <c r="AQ64" s="51">
        <f t="shared" si="34"/>
        <v>186.21248</v>
      </c>
      <c r="AR64" s="24">
        <f t="shared" si="67"/>
        <v>2.7125439999999998</v>
      </c>
      <c r="AS64" s="37">
        <f t="shared" si="68"/>
        <v>4.6186559999999997</v>
      </c>
      <c r="AT64" s="24">
        <f t="shared" si="69"/>
        <v>2.7203119474984501</v>
      </c>
      <c r="AU64" s="24">
        <f t="shared" si="46"/>
        <v>2.8166358680205961</v>
      </c>
      <c r="AV64" s="24">
        <f t="shared" si="70"/>
        <v>4.5145641319794034</v>
      </c>
      <c r="AW64" s="24">
        <f t="shared" si="71"/>
        <v>0.99831813681329595</v>
      </c>
      <c r="AX64" s="24">
        <f t="shared" si="47"/>
        <v>0</v>
      </c>
      <c r="AY64" s="25">
        <f t="shared" si="72"/>
        <v>0</v>
      </c>
      <c r="AZ64" s="24">
        <f t="shared" si="48"/>
        <v>0</v>
      </c>
      <c r="BA64" s="48">
        <f t="shared" si="37"/>
        <v>0</v>
      </c>
      <c r="BB64" s="48">
        <f t="shared" si="73"/>
        <v>0</v>
      </c>
      <c r="BC64" s="24">
        <f t="shared" si="49"/>
        <v>0</v>
      </c>
      <c r="BD64" s="51">
        <f t="shared" si="74"/>
        <v>0</v>
      </c>
      <c r="BE64" s="86">
        <f t="shared" si="50"/>
        <v>4.3890686957611189</v>
      </c>
      <c r="BF64" s="30">
        <f t="shared" si="51"/>
        <v>6.9232916434889921E-2</v>
      </c>
      <c r="BG64" s="30">
        <f t="shared" si="75"/>
        <v>4.3890686957611189</v>
      </c>
    </row>
    <row r="65" spans="1:59" x14ac:dyDescent="0.25">
      <c r="A65" s="15">
        <v>42210</v>
      </c>
      <c r="B65">
        <v>12720</v>
      </c>
      <c r="C65" s="54">
        <f t="shared" si="52"/>
        <v>1700.5347593582887</v>
      </c>
      <c r="E65"/>
      <c r="G65" s="15"/>
      <c r="J65" s="8"/>
      <c r="L65" s="78">
        <f t="shared" si="53"/>
        <v>1700.5347593582887</v>
      </c>
      <c r="M65" s="64"/>
      <c r="N65" s="58">
        <v>42210</v>
      </c>
      <c r="O65" s="34">
        <f t="shared" si="57"/>
        <v>1700.5347593582887</v>
      </c>
      <c r="P65" s="80">
        <f t="shared" si="58"/>
        <v>0.1869729717732059</v>
      </c>
      <c r="Q65" s="80">
        <f t="shared" si="25"/>
        <v>4.7491134830394293</v>
      </c>
      <c r="R65" s="79">
        <f t="shared" si="59"/>
        <v>28886.363636363636</v>
      </c>
      <c r="S65" s="81">
        <f t="shared" si="60"/>
        <v>0.66313966107354538</v>
      </c>
      <c r="T65" s="80">
        <f t="shared" si="61"/>
        <v>3.1760416675343239</v>
      </c>
      <c r="U65" s="83">
        <f>LOOKUP(N65,'weather data'!$B$7:$B$158,'weather data'!$C$7:$C$158)</f>
        <v>0</v>
      </c>
      <c r="V65" s="83">
        <f t="shared" si="62"/>
        <v>0</v>
      </c>
      <c r="W65" s="83">
        <f t="shared" si="63"/>
        <v>1.4000000000000004</v>
      </c>
      <c r="X65" s="75">
        <f>LOOKUP(N65,'weather data'!$B$7:$B$158,'weather data'!$D$7:$D$158)</f>
        <v>0.23</v>
      </c>
      <c r="Y65" s="165">
        <v>1.05</v>
      </c>
      <c r="Z65" s="165">
        <f t="shared" si="28"/>
        <v>0.68250000000000011</v>
      </c>
      <c r="AA65" s="165">
        <v>1.05</v>
      </c>
      <c r="AB65" s="165">
        <f t="shared" si="29"/>
        <v>0.68250000000000011</v>
      </c>
      <c r="AC65" s="165">
        <v>1</v>
      </c>
      <c r="AD65" s="165">
        <f t="shared" si="30"/>
        <v>0.7</v>
      </c>
      <c r="AE65" s="165">
        <v>0.95</v>
      </c>
      <c r="AF65" s="165">
        <f t="shared" si="31"/>
        <v>0.8075</v>
      </c>
      <c r="AG65" s="155">
        <f t="shared" si="32"/>
        <v>0.72102500000000014</v>
      </c>
      <c r="AH65" s="87">
        <f t="shared" si="64"/>
        <v>0.97746273634135206</v>
      </c>
      <c r="AI65" s="156">
        <f t="shared" si="54"/>
        <v>0.70477506947052349</v>
      </c>
      <c r="AJ65" s="82">
        <f t="shared" si="45"/>
        <v>0.16583575000000003</v>
      </c>
      <c r="AK65" s="82">
        <f t="shared" si="55"/>
        <v>0.16209826597822041</v>
      </c>
      <c r="AL65" s="82">
        <f t="shared" si="65"/>
        <v>7.3678028297599383</v>
      </c>
      <c r="AM65" s="157">
        <f t="shared" si="56"/>
        <v>1.0034166666666673</v>
      </c>
      <c r="AN65" s="24">
        <f t="shared" si="1"/>
        <v>4.6399999999999997</v>
      </c>
      <c r="AO65" s="51"/>
      <c r="AP65" s="51">
        <f t="shared" si="66"/>
        <v>7.3311999999999999</v>
      </c>
      <c r="AQ65" s="51">
        <f t="shared" si="34"/>
        <v>186.21248</v>
      </c>
      <c r="AR65" s="24">
        <f t="shared" si="67"/>
        <v>2.7125439999999998</v>
      </c>
      <c r="AS65" s="37">
        <f t="shared" si="68"/>
        <v>4.6186559999999997</v>
      </c>
      <c r="AT65" s="24">
        <f t="shared" si="69"/>
        <v>2.8166358680205961</v>
      </c>
      <c r="AU65" s="24">
        <f t="shared" si="46"/>
        <v>2.7917611622256109</v>
      </c>
      <c r="AV65" s="24">
        <f t="shared" si="70"/>
        <v>4.5394388377743891</v>
      </c>
      <c r="AW65" s="24">
        <f t="shared" si="71"/>
        <v>0.97746273634135206</v>
      </c>
      <c r="AX65" s="24">
        <f t="shared" si="47"/>
        <v>0</v>
      </c>
      <c r="AY65" s="25">
        <f t="shared" si="72"/>
        <v>0</v>
      </c>
      <c r="AZ65" s="24">
        <f t="shared" si="48"/>
        <v>0</v>
      </c>
      <c r="BA65" s="48">
        <f t="shared" si="37"/>
        <v>0</v>
      </c>
      <c r="BB65" s="48">
        <f t="shared" si="73"/>
        <v>0</v>
      </c>
      <c r="BC65" s="24">
        <f t="shared" si="49"/>
        <v>0</v>
      </c>
      <c r="BD65" s="51">
        <f t="shared" si="74"/>
        <v>0</v>
      </c>
      <c r="BE65" s="86">
        <f t="shared" si="50"/>
        <v>4.5760416675343247</v>
      </c>
      <c r="BF65" s="30">
        <f t="shared" si="51"/>
        <v>0.1869729717732059</v>
      </c>
      <c r="BG65" s="30">
        <f t="shared" si="75"/>
        <v>4.5760416675343247</v>
      </c>
    </row>
    <row r="66" spans="1:59" x14ac:dyDescent="0.25">
      <c r="A66" s="15">
        <v>42211</v>
      </c>
      <c r="B66">
        <v>0</v>
      </c>
      <c r="C66" s="54">
        <f t="shared" si="52"/>
        <v>0</v>
      </c>
      <c r="E66"/>
      <c r="G66" s="15"/>
      <c r="J66" s="8"/>
      <c r="L66" s="78">
        <f t="shared" si="53"/>
        <v>0</v>
      </c>
      <c r="M66" s="64"/>
      <c r="N66" s="58">
        <v>42211</v>
      </c>
      <c r="O66" s="34">
        <f t="shared" si="57"/>
        <v>0</v>
      </c>
      <c r="P66" s="80">
        <f t="shared" si="58"/>
        <v>0</v>
      </c>
      <c r="Q66" s="80">
        <f t="shared" si="25"/>
        <v>0</v>
      </c>
      <c r="R66" s="79">
        <f t="shared" si="59"/>
        <v>28886.363636363636</v>
      </c>
      <c r="S66" s="81">
        <f t="shared" si="60"/>
        <v>0.66313966107354538</v>
      </c>
      <c r="T66" s="80">
        <f t="shared" si="61"/>
        <v>3.1760416675343239</v>
      </c>
      <c r="U66" s="83">
        <f>LOOKUP(N66,'weather data'!$B$7:$B$158,'weather data'!$C$7:$C$158)</f>
        <v>0</v>
      </c>
      <c r="V66" s="83">
        <f t="shared" si="62"/>
        <v>0</v>
      </c>
      <c r="W66" s="83">
        <f t="shared" si="63"/>
        <v>1.4000000000000004</v>
      </c>
      <c r="X66" s="75">
        <f>LOOKUP(N66,'weather data'!$B$7:$B$158,'weather data'!$D$7:$D$158)</f>
        <v>0.25</v>
      </c>
      <c r="Y66" s="165">
        <v>1.05</v>
      </c>
      <c r="Z66" s="165">
        <f t="shared" si="28"/>
        <v>0.68250000000000011</v>
      </c>
      <c r="AA66" s="165">
        <v>1.05</v>
      </c>
      <c r="AB66" s="165">
        <f t="shared" si="29"/>
        <v>0.68250000000000011</v>
      </c>
      <c r="AC66" s="165">
        <v>1</v>
      </c>
      <c r="AD66" s="165">
        <f t="shared" si="30"/>
        <v>0.7</v>
      </c>
      <c r="AE66" s="165">
        <v>0.95</v>
      </c>
      <c r="AF66" s="165">
        <f t="shared" si="31"/>
        <v>0.8075</v>
      </c>
      <c r="AG66" s="155">
        <f t="shared" si="32"/>
        <v>0.72102500000000014</v>
      </c>
      <c r="AH66" s="87">
        <f t="shared" si="64"/>
        <v>0.98284843854454396</v>
      </c>
      <c r="AI66" s="156">
        <f t="shared" si="54"/>
        <v>0.70865829540157999</v>
      </c>
      <c r="AJ66" s="82">
        <f t="shared" si="45"/>
        <v>0.18025625000000003</v>
      </c>
      <c r="AK66" s="82">
        <f t="shared" si="55"/>
        <v>0.177164573850395</v>
      </c>
      <c r="AL66" s="82">
        <f t="shared" si="65"/>
        <v>7.5449674036103334</v>
      </c>
      <c r="AM66" s="157">
        <f t="shared" si="56"/>
        <v>1.0034166666666673</v>
      </c>
      <c r="AN66" s="24">
        <f t="shared" si="1"/>
        <v>4.6399999999999997</v>
      </c>
      <c r="AO66" s="51"/>
      <c r="AP66" s="51">
        <f t="shared" si="66"/>
        <v>7.3311999999999999</v>
      </c>
      <c r="AQ66" s="51">
        <f t="shared" si="34"/>
        <v>186.21248</v>
      </c>
      <c r="AR66" s="24">
        <f t="shared" si="67"/>
        <v>2.7125439999999998</v>
      </c>
      <c r="AS66" s="37">
        <f t="shared" si="68"/>
        <v>4.6186559999999997</v>
      </c>
      <c r="AT66" s="24">
        <f t="shared" si="69"/>
        <v>2.7917611622256109</v>
      </c>
      <c r="AU66" s="24">
        <f t="shared" si="46"/>
        <v>2.968925736076006</v>
      </c>
      <c r="AV66" s="24">
        <f t="shared" si="70"/>
        <v>4.362274263923994</v>
      </c>
      <c r="AW66" s="24">
        <f t="shared" si="71"/>
        <v>0.98284843854454407</v>
      </c>
      <c r="AX66" s="24">
        <f t="shared" si="47"/>
        <v>0</v>
      </c>
      <c r="AY66" s="25">
        <f t="shared" si="72"/>
        <v>0</v>
      </c>
      <c r="AZ66" s="24">
        <f t="shared" si="48"/>
        <v>0</v>
      </c>
      <c r="BA66" s="48">
        <f t="shared" si="37"/>
        <v>0</v>
      </c>
      <c r="BB66" s="48">
        <f t="shared" si="73"/>
        <v>0</v>
      </c>
      <c r="BC66" s="24">
        <f t="shared" si="49"/>
        <v>0</v>
      </c>
      <c r="BD66" s="51">
        <f t="shared" si="74"/>
        <v>0</v>
      </c>
      <c r="BE66" s="86">
        <f t="shared" si="50"/>
        <v>4.5760416675343247</v>
      </c>
      <c r="BF66" s="30">
        <f t="shared" si="51"/>
        <v>0</v>
      </c>
      <c r="BG66" s="30">
        <f t="shared" si="75"/>
        <v>4.5760416675343247</v>
      </c>
    </row>
    <row r="67" spans="1:59" x14ac:dyDescent="0.25">
      <c r="A67" s="15">
        <v>42212</v>
      </c>
      <c r="B67">
        <v>0</v>
      </c>
      <c r="C67" s="54">
        <f t="shared" si="52"/>
        <v>0</v>
      </c>
      <c r="E67"/>
      <c r="G67" s="15"/>
      <c r="J67" s="8"/>
      <c r="L67" s="78">
        <f t="shared" si="53"/>
        <v>0</v>
      </c>
      <c r="M67" s="64"/>
      <c r="N67" s="58">
        <v>42212</v>
      </c>
      <c r="O67" s="34">
        <f t="shared" si="57"/>
        <v>0</v>
      </c>
      <c r="P67" s="80">
        <f t="shared" si="58"/>
        <v>0</v>
      </c>
      <c r="Q67" s="80">
        <f t="shared" si="25"/>
        <v>0</v>
      </c>
      <c r="R67" s="79">
        <f t="shared" si="59"/>
        <v>28886.363636363636</v>
      </c>
      <c r="S67" s="81">
        <f t="shared" si="60"/>
        <v>0.66313966107354538</v>
      </c>
      <c r="T67" s="80">
        <f t="shared" si="61"/>
        <v>3.1760416675343239</v>
      </c>
      <c r="U67" s="83">
        <f>LOOKUP(N67,'weather data'!$B$7:$B$158,'weather data'!$C$7:$C$158)</f>
        <v>0.05</v>
      </c>
      <c r="V67" s="83">
        <f t="shared" si="62"/>
        <v>4.0000000000000008E-2</v>
      </c>
      <c r="W67" s="83">
        <f t="shared" si="63"/>
        <v>1.4400000000000004</v>
      </c>
      <c r="X67" s="75">
        <f>LOOKUP(N67,'weather data'!$B$7:$B$158,'weather data'!$D$7:$D$158)</f>
        <v>0.15</v>
      </c>
      <c r="Y67" s="165">
        <v>1.05</v>
      </c>
      <c r="Z67" s="165">
        <f t="shared" si="28"/>
        <v>0.68250000000000011</v>
      </c>
      <c r="AA67" s="165">
        <v>1.05</v>
      </c>
      <c r="AB67" s="165">
        <f t="shared" si="29"/>
        <v>0.68250000000000011</v>
      </c>
      <c r="AC67" s="165">
        <v>1</v>
      </c>
      <c r="AD67" s="165">
        <f t="shared" si="30"/>
        <v>0.7</v>
      </c>
      <c r="AE67" s="165">
        <v>0.95</v>
      </c>
      <c r="AF67" s="165">
        <f t="shared" si="31"/>
        <v>0.8075</v>
      </c>
      <c r="AG67" s="155">
        <f t="shared" si="32"/>
        <v>0.72102500000000014</v>
      </c>
      <c r="AH67" s="87">
        <f t="shared" si="64"/>
        <v>0.94448996935991647</v>
      </c>
      <c r="AI67" s="156">
        <f t="shared" si="54"/>
        <v>0.68100088015773386</v>
      </c>
      <c r="AJ67" s="82">
        <f t="shared" si="45"/>
        <v>0.10815375000000002</v>
      </c>
      <c r="AK67" s="82">
        <f t="shared" si="55"/>
        <v>0.10215013202366009</v>
      </c>
      <c r="AL67" s="82">
        <f t="shared" si="65"/>
        <v>7.6471175356339938</v>
      </c>
      <c r="AM67" s="157">
        <f t="shared" si="56"/>
        <v>1.0034166666666673</v>
      </c>
      <c r="AN67" s="24">
        <f t="shared" si="1"/>
        <v>4.6399999999999997</v>
      </c>
      <c r="AO67" s="51"/>
      <c r="AP67" s="51">
        <f t="shared" si="66"/>
        <v>7.3311999999999999</v>
      </c>
      <c r="AQ67" s="51">
        <f t="shared" si="34"/>
        <v>186.21248</v>
      </c>
      <c r="AR67" s="24">
        <f t="shared" si="67"/>
        <v>2.7125439999999998</v>
      </c>
      <c r="AS67" s="37">
        <f t="shared" si="68"/>
        <v>4.6186559999999997</v>
      </c>
      <c r="AT67" s="24">
        <f t="shared" si="69"/>
        <v>2.968925736076006</v>
      </c>
      <c r="AU67" s="24">
        <f t="shared" si="46"/>
        <v>3.0310758680996659</v>
      </c>
      <c r="AV67" s="24">
        <f t="shared" si="70"/>
        <v>4.3001241319003345</v>
      </c>
      <c r="AW67" s="24">
        <f t="shared" si="71"/>
        <v>0.94448996935991658</v>
      </c>
      <c r="AX67" s="24">
        <f t="shared" si="47"/>
        <v>0</v>
      </c>
      <c r="AY67" s="25">
        <f t="shared" si="72"/>
        <v>0</v>
      </c>
      <c r="AZ67" s="24">
        <f t="shared" si="48"/>
        <v>0</v>
      </c>
      <c r="BA67" s="48">
        <f t="shared" si="37"/>
        <v>0</v>
      </c>
      <c r="BB67" s="48">
        <f t="shared" si="73"/>
        <v>0</v>
      </c>
      <c r="BC67" s="24">
        <f t="shared" si="49"/>
        <v>0</v>
      </c>
      <c r="BD67" s="51">
        <f t="shared" si="74"/>
        <v>0</v>
      </c>
      <c r="BE67" s="86">
        <f t="shared" si="50"/>
        <v>4.6160416675343248</v>
      </c>
      <c r="BF67" s="30">
        <f t="shared" si="51"/>
        <v>4.0000000000000008E-2</v>
      </c>
      <c r="BG67" s="30">
        <f t="shared" si="75"/>
        <v>4.6160416675343248</v>
      </c>
    </row>
    <row r="68" spans="1:59" x14ac:dyDescent="0.25">
      <c r="A68" s="15">
        <v>42213</v>
      </c>
      <c r="B68">
        <v>27500</v>
      </c>
      <c r="C68" s="54">
        <f t="shared" si="52"/>
        <v>3676.4705882352937</v>
      </c>
      <c r="E68"/>
      <c r="G68" s="15"/>
      <c r="J68" s="8"/>
      <c r="L68" s="78">
        <f t="shared" si="53"/>
        <v>3676.4705882352937</v>
      </c>
      <c r="M68" s="64"/>
      <c r="N68" s="58">
        <v>42213</v>
      </c>
      <c r="O68" s="34">
        <f t="shared" si="57"/>
        <v>3676.4705882352937</v>
      </c>
      <c r="P68" s="80">
        <f t="shared" si="58"/>
        <v>0.40422615752855046</v>
      </c>
      <c r="Q68" s="80">
        <f t="shared" si="25"/>
        <v>10.267344401225181</v>
      </c>
      <c r="R68" s="79">
        <f t="shared" si="59"/>
        <v>32562.83422459893</v>
      </c>
      <c r="S68" s="81">
        <f t="shared" si="60"/>
        <v>0.74753981231861644</v>
      </c>
      <c r="T68" s="80">
        <f t="shared" si="61"/>
        <v>3.5802678250628746</v>
      </c>
      <c r="U68" s="83">
        <f>LOOKUP(N68,'weather data'!$B$7:$B$158,'weather data'!$C$7:$C$158)</f>
        <v>0</v>
      </c>
      <c r="V68" s="83">
        <f t="shared" si="62"/>
        <v>0</v>
      </c>
      <c r="W68" s="83">
        <f t="shared" si="63"/>
        <v>1.4400000000000004</v>
      </c>
      <c r="X68" s="75">
        <f>LOOKUP(N68,'weather data'!$B$7:$B$158,'weather data'!$D$7:$D$158)</f>
        <v>0.2</v>
      </c>
      <c r="Y68" s="165">
        <v>1.05</v>
      </c>
      <c r="Z68" s="165">
        <f t="shared" si="28"/>
        <v>0.68250000000000011</v>
      </c>
      <c r="AA68" s="165">
        <v>1.05</v>
      </c>
      <c r="AB68" s="165">
        <f t="shared" si="29"/>
        <v>0.68250000000000011</v>
      </c>
      <c r="AC68" s="165">
        <v>1</v>
      </c>
      <c r="AD68" s="165">
        <f t="shared" si="30"/>
        <v>0.7</v>
      </c>
      <c r="AE68" s="165">
        <v>0.95</v>
      </c>
      <c r="AF68" s="165">
        <f t="shared" si="31"/>
        <v>0.8075</v>
      </c>
      <c r="AG68" s="155">
        <f t="shared" si="32"/>
        <v>0.72102500000000014</v>
      </c>
      <c r="AH68" s="87">
        <f t="shared" si="64"/>
        <v>0.93103364526397614</v>
      </c>
      <c r="AI68" s="156">
        <f t="shared" si="54"/>
        <v>0.67129853407645856</v>
      </c>
      <c r="AJ68" s="82">
        <f t="shared" si="45"/>
        <v>0.14420500000000003</v>
      </c>
      <c r="AK68" s="82">
        <f t="shared" si="55"/>
        <v>0.1342597068152917</v>
      </c>
      <c r="AL68" s="82">
        <f t="shared" si="65"/>
        <v>7.7813772424492855</v>
      </c>
      <c r="AM68" s="157">
        <f t="shared" si="56"/>
        <v>1.0034166666666673</v>
      </c>
      <c r="AN68" s="24">
        <f t="shared" si="1"/>
        <v>4.6399999999999997</v>
      </c>
      <c r="AO68" s="51"/>
      <c r="AP68" s="51">
        <f t="shared" si="66"/>
        <v>7.3311999999999999</v>
      </c>
      <c r="AQ68" s="51">
        <f t="shared" si="34"/>
        <v>186.21248</v>
      </c>
      <c r="AR68" s="24">
        <f t="shared" si="67"/>
        <v>2.7125439999999998</v>
      </c>
      <c r="AS68" s="37">
        <f t="shared" si="68"/>
        <v>4.6186559999999997</v>
      </c>
      <c r="AT68" s="24">
        <f t="shared" si="69"/>
        <v>3.0310758680996659</v>
      </c>
      <c r="AU68" s="24">
        <f t="shared" si="46"/>
        <v>2.761109417386407</v>
      </c>
      <c r="AV68" s="24">
        <f t="shared" si="70"/>
        <v>4.5700905826135934</v>
      </c>
      <c r="AW68" s="24">
        <f t="shared" si="71"/>
        <v>0.93103364526397614</v>
      </c>
      <c r="AX68" s="24">
        <f t="shared" si="47"/>
        <v>0</v>
      </c>
      <c r="AY68" s="25">
        <f t="shared" si="72"/>
        <v>0</v>
      </c>
      <c r="AZ68" s="24">
        <f t="shared" si="48"/>
        <v>0</v>
      </c>
      <c r="BA68" s="48">
        <f t="shared" si="37"/>
        <v>0</v>
      </c>
      <c r="BB68" s="48">
        <f t="shared" si="73"/>
        <v>0</v>
      </c>
      <c r="BC68" s="24">
        <f t="shared" si="49"/>
        <v>0</v>
      </c>
      <c r="BD68" s="51">
        <f t="shared" si="74"/>
        <v>0</v>
      </c>
      <c r="BE68" s="86">
        <f t="shared" si="50"/>
        <v>5.0202678250628754</v>
      </c>
      <c r="BF68" s="30">
        <f t="shared" si="51"/>
        <v>0.40422615752855046</v>
      </c>
      <c r="BG68" s="30">
        <f t="shared" si="75"/>
        <v>5.0202678250628754</v>
      </c>
    </row>
    <row r="69" spans="1:59" x14ac:dyDescent="0.25">
      <c r="A69" s="15">
        <v>42214</v>
      </c>
      <c r="B69">
        <v>29700</v>
      </c>
      <c r="C69" s="54">
        <f t="shared" si="52"/>
        <v>3970.5882352941176</v>
      </c>
      <c r="E69"/>
      <c r="G69" s="15"/>
      <c r="J69" s="8"/>
      <c r="L69" s="78">
        <f t="shared" si="53"/>
        <v>3970.5882352941176</v>
      </c>
      <c r="M69" s="64"/>
      <c r="N69" s="58">
        <v>42214</v>
      </c>
      <c r="O69" s="34">
        <f t="shared" si="57"/>
        <v>3970.5882352941176</v>
      </c>
      <c r="P69" s="80">
        <f t="shared" si="58"/>
        <v>0.43656425013083455</v>
      </c>
      <c r="Q69" s="80">
        <f t="shared" si="25"/>
        <v>11.088731953323197</v>
      </c>
      <c r="R69" s="79">
        <f t="shared" si="59"/>
        <v>36533.422459893045</v>
      </c>
      <c r="S69" s="81">
        <f t="shared" si="60"/>
        <v>0.83869197566329301</v>
      </c>
      <c r="T69" s="80">
        <f t="shared" si="61"/>
        <v>4.0168320751937081</v>
      </c>
      <c r="U69" s="83">
        <f>LOOKUP(N69,'weather data'!$B$7:$B$158,'weather data'!$C$7:$C$158)</f>
        <v>0</v>
      </c>
      <c r="V69" s="83">
        <f t="shared" si="62"/>
        <v>0</v>
      </c>
      <c r="W69" s="83">
        <f t="shared" si="63"/>
        <v>1.4400000000000004</v>
      </c>
      <c r="X69" s="75">
        <f>LOOKUP(N69,'weather data'!$B$7:$B$158,'weather data'!$D$7:$D$158)</f>
        <v>0.22</v>
      </c>
      <c r="Y69" s="165">
        <v>1.05</v>
      </c>
      <c r="Z69" s="165">
        <f t="shared" si="28"/>
        <v>0.68250000000000011</v>
      </c>
      <c r="AA69" s="165">
        <v>1.05</v>
      </c>
      <c r="AB69" s="165">
        <f t="shared" si="29"/>
        <v>0.68250000000000011</v>
      </c>
      <c r="AC69" s="165">
        <v>1</v>
      </c>
      <c r="AD69" s="165">
        <f t="shared" si="30"/>
        <v>0.7</v>
      </c>
      <c r="AE69" s="165">
        <v>0.95</v>
      </c>
      <c r="AF69" s="165">
        <f t="shared" si="31"/>
        <v>0.8075</v>
      </c>
      <c r="AG69" s="155">
        <f t="shared" si="32"/>
        <v>0.72102500000000014</v>
      </c>
      <c r="AH69" s="87">
        <f t="shared" si="64"/>
        <v>0.98948494596990855</v>
      </c>
      <c r="AI69" s="156">
        <f t="shared" si="54"/>
        <v>0.71344338316795342</v>
      </c>
      <c r="AJ69" s="82">
        <f t="shared" si="45"/>
        <v>0.15862550000000003</v>
      </c>
      <c r="AK69" s="82">
        <f t="shared" si="55"/>
        <v>0.15695754429694975</v>
      </c>
      <c r="AL69" s="82">
        <f t="shared" si="65"/>
        <v>7.9383347867462355</v>
      </c>
      <c r="AM69" s="157">
        <f t="shared" si="56"/>
        <v>1.0034166666666673</v>
      </c>
      <c r="AN69" s="24">
        <f t="shared" si="1"/>
        <v>4.6399999999999997</v>
      </c>
      <c r="AO69" s="51"/>
      <c r="AP69" s="51">
        <f t="shared" si="66"/>
        <v>7.3311999999999999</v>
      </c>
      <c r="AQ69" s="51">
        <f t="shared" si="34"/>
        <v>186.21248</v>
      </c>
      <c r="AR69" s="24">
        <f t="shared" si="67"/>
        <v>2.7125439999999998</v>
      </c>
      <c r="AS69" s="37">
        <f t="shared" si="68"/>
        <v>4.6186559999999997</v>
      </c>
      <c r="AT69" s="24">
        <f t="shared" si="69"/>
        <v>2.761109417386407</v>
      </c>
      <c r="AU69" s="24">
        <f t="shared" si="46"/>
        <v>2.4815027115525221</v>
      </c>
      <c r="AV69" s="24">
        <f t="shared" si="70"/>
        <v>4.8496972884474783</v>
      </c>
      <c r="AW69" s="24">
        <f t="shared" si="71"/>
        <v>0.98948494596990844</v>
      </c>
      <c r="AX69" s="24">
        <f t="shared" si="47"/>
        <v>0</v>
      </c>
      <c r="AY69" s="25">
        <f t="shared" si="72"/>
        <v>0</v>
      </c>
      <c r="AZ69" s="24">
        <f t="shared" si="48"/>
        <v>0</v>
      </c>
      <c r="BA69" s="48">
        <f t="shared" si="37"/>
        <v>0</v>
      </c>
      <c r="BB69" s="48">
        <f t="shared" si="73"/>
        <v>0</v>
      </c>
      <c r="BC69" s="24">
        <f t="shared" si="49"/>
        <v>0</v>
      </c>
      <c r="BD69" s="51">
        <f t="shared" si="74"/>
        <v>0</v>
      </c>
      <c r="BE69" s="86">
        <f t="shared" si="50"/>
        <v>5.4568320751937103</v>
      </c>
      <c r="BF69" s="30">
        <f t="shared" si="51"/>
        <v>0.43656425013083455</v>
      </c>
      <c r="BG69" s="30">
        <f t="shared" si="75"/>
        <v>5.4568320751937103</v>
      </c>
    </row>
    <row r="70" spans="1:59" x14ac:dyDescent="0.25">
      <c r="A70" s="15">
        <v>42215</v>
      </c>
      <c r="B70">
        <v>1940</v>
      </c>
      <c r="C70" s="54">
        <f t="shared" si="52"/>
        <v>259.35828877005343</v>
      </c>
      <c r="E70"/>
      <c r="G70" s="15"/>
      <c r="J70" s="8"/>
      <c r="L70" s="78">
        <f t="shared" si="53"/>
        <v>259.35828877005343</v>
      </c>
      <c r="M70" s="64"/>
      <c r="N70" s="58">
        <v>42215</v>
      </c>
      <c r="O70" s="34">
        <f t="shared" si="57"/>
        <v>259.35828877005343</v>
      </c>
      <c r="P70" s="80">
        <f t="shared" si="58"/>
        <v>2.8516318022014101E-2</v>
      </c>
      <c r="Q70" s="80">
        <f t="shared" si="25"/>
        <v>0.72431447775915814</v>
      </c>
      <c r="R70" s="79">
        <f t="shared" si="59"/>
        <v>36792.780748663099</v>
      </c>
      <c r="S70" s="81">
        <f t="shared" si="60"/>
        <v>0.84464602269658173</v>
      </c>
      <c r="T70" s="80">
        <f t="shared" si="61"/>
        <v>4.0453483932157237</v>
      </c>
      <c r="U70" s="83">
        <f>LOOKUP(N70,'weather data'!$B$7:$B$158,'weather data'!$C$7:$C$158)</f>
        <v>0</v>
      </c>
      <c r="V70" s="83">
        <f t="shared" si="62"/>
        <v>0</v>
      </c>
      <c r="W70" s="83">
        <f t="shared" si="63"/>
        <v>1.4400000000000004</v>
      </c>
      <c r="X70" s="75">
        <f>LOOKUP(N70,'weather data'!$B$7:$B$158,'weather data'!$D$7:$D$158)</f>
        <v>0.22</v>
      </c>
      <c r="Y70" s="165">
        <v>1.05</v>
      </c>
      <c r="Z70" s="165">
        <f t="shared" si="28"/>
        <v>0.68250000000000011</v>
      </c>
      <c r="AA70" s="165">
        <v>1.05</v>
      </c>
      <c r="AB70" s="165">
        <f t="shared" si="29"/>
        <v>0.68250000000000011</v>
      </c>
      <c r="AC70" s="165">
        <v>1</v>
      </c>
      <c r="AD70" s="165">
        <f t="shared" si="30"/>
        <v>0.7</v>
      </c>
      <c r="AE70" s="165">
        <v>0.95</v>
      </c>
      <c r="AF70" s="165">
        <f t="shared" si="31"/>
        <v>0.8075</v>
      </c>
      <c r="AG70" s="155">
        <f t="shared" si="32"/>
        <v>0.72102500000000014</v>
      </c>
      <c r="AH70" s="87">
        <f t="shared" si="64"/>
        <v>1</v>
      </c>
      <c r="AI70" s="156">
        <f t="shared" si="54"/>
        <v>0.72102500000000014</v>
      </c>
      <c r="AJ70" s="82">
        <f t="shared" si="45"/>
        <v>0.15862550000000003</v>
      </c>
      <c r="AK70" s="82">
        <f t="shared" si="55"/>
        <v>0.15862550000000003</v>
      </c>
      <c r="AL70" s="82">
        <f t="shared" si="65"/>
        <v>8.0969602867462349</v>
      </c>
      <c r="AM70" s="157">
        <f t="shared" si="56"/>
        <v>1.0034166666666673</v>
      </c>
      <c r="AN70" s="24">
        <f t="shared" si="1"/>
        <v>4.6399999999999997</v>
      </c>
      <c r="AO70" s="51"/>
      <c r="AP70" s="51">
        <f t="shared" si="66"/>
        <v>7.3311999999999999</v>
      </c>
      <c r="AQ70" s="51">
        <f t="shared" si="34"/>
        <v>186.21248</v>
      </c>
      <c r="AR70" s="24">
        <f t="shared" si="67"/>
        <v>2.7125439999999998</v>
      </c>
      <c r="AS70" s="37">
        <f t="shared" si="68"/>
        <v>4.6186559999999997</v>
      </c>
      <c r="AT70" s="24">
        <f t="shared" si="69"/>
        <v>2.4815027115525221</v>
      </c>
      <c r="AU70" s="24">
        <f t="shared" si="46"/>
        <v>2.6116118935305077</v>
      </c>
      <c r="AV70" s="24">
        <f t="shared" si="70"/>
        <v>4.7195881064694927</v>
      </c>
      <c r="AW70" s="24">
        <f t="shared" si="71"/>
        <v>1</v>
      </c>
      <c r="AX70" s="24">
        <f t="shared" si="47"/>
        <v>0</v>
      </c>
      <c r="AY70" s="25">
        <f t="shared" si="72"/>
        <v>0</v>
      </c>
      <c r="AZ70" s="24">
        <f t="shared" si="48"/>
        <v>0</v>
      </c>
      <c r="BA70" s="48">
        <f t="shared" si="37"/>
        <v>0</v>
      </c>
      <c r="BB70" s="48">
        <f t="shared" si="73"/>
        <v>0</v>
      </c>
      <c r="BC70" s="24">
        <f t="shared" si="49"/>
        <v>0</v>
      </c>
      <c r="BD70" s="51">
        <f t="shared" si="74"/>
        <v>0</v>
      </c>
      <c r="BE70" s="86">
        <f t="shared" si="50"/>
        <v>5.4853483932157241</v>
      </c>
      <c r="BF70" s="30">
        <f t="shared" si="51"/>
        <v>2.8516318022014101E-2</v>
      </c>
      <c r="BG70" s="30">
        <f t="shared" si="75"/>
        <v>5.4853483932157241</v>
      </c>
    </row>
    <row r="71" spans="1:59" x14ac:dyDescent="0.25">
      <c r="A71" s="15">
        <v>42216</v>
      </c>
      <c r="B71">
        <v>19690</v>
      </c>
      <c r="C71" s="54">
        <f t="shared" si="52"/>
        <v>2632.3529411764703</v>
      </c>
      <c r="E71"/>
      <c r="G71" s="15"/>
      <c r="J71" s="8"/>
      <c r="L71" s="78">
        <f t="shared" si="53"/>
        <v>2632.3529411764703</v>
      </c>
      <c r="M71" s="64"/>
      <c r="N71" s="58">
        <v>42216</v>
      </c>
      <c r="O71" s="34">
        <f t="shared" si="57"/>
        <v>2632.3529411764703</v>
      </c>
      <c r="P71" s="80">
        <f t="shared" si="58"/>
        <v>0.2894259287904421</v>
      </c>
      <c r="Q71" s="80">
        <f t="shared" si="25"/>
        <v>7.3514185912772287</v>
      </c>
      <c r="R71" s="79">
        <f t="shared" si="59"/>
        <v>39425.133689839568</v>
      </c>
      <c r="S71" s="81">
        <f t="shared" si="60"/>
        <v>0.90507653098805252</v>
      </c>
      <c r="T71" s="80">
        <f t="shared" si="61"/>
        <v>4.3347743220061652</v>
      </c>
      <c r="U71" s="83">
        <f>LOOKUP(N71,'weather data'!$B$7:$B$158,'weather data'!$C$7:$C$158)</f>
        <v>0</v>
      </c>
      <c r="V71" s="83">
        <f t="shared" si="62"/>
        <v>0</v>
      </c>
      <c r="W71" s="83">
        <f t="shared" si="63"/>
        <v>1.4400000000000004</v>
      </c>
      <c r="X71" s="75">
        <f>LOOKUP(N71,'weather data'!$B$7:$B$158,'weather data'!$D$7:$D$158)</f>
        <v>0.22</v>
      </c>
      <c r="Y71" s="165">
        <v>1.05</v>
      </c>
      <c r="Z71" s="165">
        <f t="shared" si="28"/>
        <v>0.68250000000000011</v>
      </c>
      <c r="AA71" s="165">
        <v>1.05</v>
      </c>
      <c r="AB71" s="165">
        <f t="shared" si="29"/>
        <v>0.68250000000000011</v>
      </c>
      <c r="AC71" s="165">
        <v>1</v>
      </c>
      <c r="AD71" s="165">
        <f t="shared" si="30"/>
        <v>0.7</v>
      </c>
      <c r="AE71" s="165">
        <v>0.95</v>
      </c>
      <c r="AF71" s="165">
        <f t="shared" si="31"/>
        <v>0.8075</v>
      </c>
      <c r="AG71" s="155">
        <f t="shared" si="32"/>
        <v>0.72102500000000014</v>
      </c>
      <c r="AH71" s="87">
        <f t="shared" si="64"/>
        <v>1</v>
      </c>
      <c r="AI71" s="156">
        <f t="shared" si="54"/>
        <v>0.72102500000000014</v>
      </c>
      <c r="AJ71" s="82">
        <f t="shared" si="45"/>
        <v>0.15862550000000003</v>
      </c>
      <c r="AK71" s="82">
        <f t="shared" si="55"/>
        <v>0.15862550000000003</v>
      </c>
      <c r="AL71" s="82">
        <f t="shared" si="65"/>
        <v>8.2555857867462343</v>
      </c>
      <c r="AM71" s="157">
        <f t="shared" si="56"/>
        <v>1.0034166666666673</v>
      </c>
      <c r="AN71" s="24">
        <f t="shared" si="1"/>
        <v>4.6399999999999997</v>
      </c>
      <c r="AO71" s="51"/>
      <c r="AP71" s="51">
        <f t="shared" si="66"/>
        <v>7.3311999999999999</v>
      </c>
      <c r="AQ71" s="51">
        <f t="shared" si="34"/>
        <v>186.21248</v>
      </c>
      <c r="AR71" s="24">
        <f t="shared" si="67"/>
        <v>2.7125439999999998</v>
      </c>
      <c r="AS71" s="37">
        <f t="shared" si="68"/>
        <v>4.6186559999999997</v>
      </c>
      <c r="AT71" s="24">
        <f t="shared" si="69"/>
        <v>2.6116118935305077</v>
      </c>
      <c r="AU71" s="24">
        <f t="shared" si="46"/>
        <v>2.4808114647400656</v>
      </c>
      <c r="AV71" s="24">
        <f t="shared" si="70"/>
        <v>4.8503885352599347</v>
      </c>
      <c r="AW71" s="24">
        <f t="shared" si="71"/>
        <v>1</v>
      </c>
      <c r="AX71" s="24">
        <f t="shared" si="47"/>
        <v>0</v>
      </c>
      <c r="AY71" s="25">
        <f t="shared" si="72"/>
        <v>0</v>
      </c>
      <c r="AZ71" s="24">
        <f t="shared" si="48"/>
        <v>0</v>
      </c>
      <c r="BA71" s="48">
        <f t="shared" si="37"/>
        <v>0</v>
      </c>
      <c r="BB71" s="48">
        <f t="shared" si="73"/>
        <v>0</v>
      </c>
      <c r="BC71" s="24">
        <f t="shared" si="49"/>
        <v>0</v>
      </c>
      <c r="BD71" s="51">
        <f t="shared" si="74"/>
        <v>0</v>
      </c>
      <c r="BE71" s="86">
        <f t="shared" si="50"/>
        <v>5.7747743220061665</v>
      </c>
      <c r="BF71" s="30">
        <f t="shared" si="51"/>
        <v>0.2894259287904421</v>
      </c>
      <c r="BG71" s="30">
        <f t="shared" si="75"/>
        <v>5.7747743220061665</v>
      </c>
    </row>
    <row r="72" spans="1:59" x14ac:dyDescent="0.25">
      <c r="A72" s="15">
        <v>42217</v>
      </c>
      <c r="B72">
        <v>0</v>
      </c>
      <c r="C72" s="54">
        <f t="shared" si="52"/>
        <v>0</v>
      </c>
      <c r="E72"/>
      <c r="G72" s="15"/>
      <c r="J72" s="8"/>
      <c r="L72" s="78">
        <f t="shared" si="53"/>
        <v>0</v>
      </c>
      <c r="M72" s="64"/>
      <c r="N72" s="58">
        <v>42217</v>
      </c>
      <c r="O72" s="34">
        <f t="shared" si="57"/>
        <v>0</v>
      </c>
      <c r="P72" s="80">
        <f t="shared" si="58"/>
        <v>0</v>
      </c>
      <c r="Q72" s="80">
        <f t="shared" si="25"/>
        <v>0</v>
      </c>
      <c r="R72" s="79">
        <f t="shared" si="59"/>
        <v>39425.133689839568</v>
      </c>
      <c r="S72" s="81">
        <f t="shared" si="60"/>
        <v>0.90507653098805252</v>
      </c>
      <c r="T72" s="80">
        <f t="shared" si="61"/>
        <v>4.3347743220061652</v>
      </c>
      <c r="U72" s="83">
        <f>LOOKUP(N72,'weather data'!$B$7:$B$158,'weather data'!$C$7:$C$158)</f>
        <v>0</v>
      </c>
      <c r="V72" s="83">
        <f t="shared" si="62"/>
        <v>0</v>
      </c>
      <c r="W72" s="83">
        <f t="shared" si="63"/>
        <v>1.4400000000000004</v>
      </c>
      <c r="X72" s="75">
        <f>LOOKUP(N72,'weather data'!$B$7:$B$158,'weather data'!$D$7:$D$158)</f>
        <v>0.22</v>
      </c>
      <c r="Y72" s="165">
        <v>1.05</v>
      </c>
      <c r="Z72" s="165">
        <f t="shared" si="28"/>
        <v>0.68250000000000011</v>
      </c>
      <c r="AA72" s="165">
        <v>1.05</v>
      </c>
      <c r="AB72" s="165">
        <f t="shared" si="29"/>
        <v>0.68250000000000011</v>
      </c>
      <c r="AC72" s="165">
        <v>1</v>
      </c>
      <c r="AD72" s="165">
        <f t="shared" si="30"/>
        <v>0.7</v>
      </c>
      <c r="AE72" s="165">
        <v>0.95</v>
      </c>
      <c r="AF72" s="165">
        <f t="shared" si="31"/>
        <v>0.8075</v>
      </c>
      <c r="AG72" s="155">
        <f t="shared" si="32"/>
        <v>0.72102500000000014</v>
      </c>
      <c r="AH72" s="87">
        <f t="shared" si="64"/>
        <v>1</v>
      </c>
      <c r="AI72" s="156">
        <f t="shared" si="54"/>
        <v>0.72102500000000014</v>
      </c>
      <c r="AJ72" s="82">
        <f t="shared" si="45"/>
        <v>0.15862550000000003</v>
      </c>
      <c r="AK72" s="82">
        <f t="shared" si="55"/>
        <v>0.15862550000000003</v>
      </c>
      <c r="AL72" s="82">
        <f t="shared" si="65"/>
        <v>8.4142112867462338</v>
      </c>
      <c r="AM72" s="157">
        <f t="shared" si="56"/>
        <v>1.0034166666666673</v>
      </c>
      <c r="AN72" s="24">
        <f t="shared" si="1"/>
        <v>4.6399999999999997</v>
      </c>
      <c r="AO72" s="51"/>
      <c r="AP72" s="51">
        <f t="shared" si="66"/>
        <v>7.3311999999999999</v>
      </c>
      <c r="AQ72" s="51">
        <f t="shared" si="34"/>
        <v>186.21248</v>
      </c>
      <c r="AR72" s="24">
        <f t="shared" si="67"/>
        <v>2.7125439999999998</v>
      </c>
      <c r="AS72" s="37">
        <f t="shared" si="68"/>
        <v>4.6186559999999997</v>
      </c>
      <c r="AT72" s="24">
        <f t="shared" si="69"/>
        <v>2.4808114647400656</v>
      </c>
      <c r="AU72" s="24">
        <f t="shared" si="46"/>
        <v>2.6394369647400655</v>
      </c>
      <c r="AV72" s="24">
        <f t="shared" si="70"/>
        <v>4.6917630352599344</v>
      </c>
      <c r="AW72" s="24">
        <f t="shared" si="71"/>
        <v>1</v>
      </c>
      <c r="AX72" s="24">
        <f t="shared" si="47"/>
        <v>0</v>
      </c>
      <c r="AY72" s="25">
        <f t="shared" si="72"/>
        <v>0</v>
      </c>
      <c r="AZ72" s="24">
        <f t="shared" si="48"/>
        <v>0</v>
      </c>
      <c r="BA72" s="48">
        <f t="shared" si="37"/>
        <v>0</v>
      </c>
      <c r="BB72" s="48">
        <f t="shared" si="73"/>
        <v>0</v>
      </c>
      <c r="BC72" s="24">
        <f t="shared" si="49"/>
        <v>0</v>
      </c>
      <c r="BD72" s="51">
        <f t="shared" si="74"/>
        <v>0</v>
      </c>
      <c r="BE72" s="86">
        <f t="shared" si="50"/>
        <v>5.7747743220061665</v>
      </c>
      <c r="BF72" s="30">
        <f t="shared" si="51"/>
        <v>0</v>
      </c>
      <c r="BG72" s="30">
        <f t="shared" si="75"/>
        <v>5.7747743220061665</v>
      </c>
    </row>
    <row r="73" spans="1:59" x14ac:dyDescent="0.25">
      <c r="A73" s="15">
        <v>42218</v>
      </c>
      <c r="B73">
        <v>0</v>
      </c>
      <c r="C73" s="54">
        <f t="shared" si="52"/>
        <v>0</v>
      </c>
      <c r="E73"/>
      <c r="G73" s="15"/>
      <c r="J73" s="8"/>
      <c r="L73" s="78">
        <f t="shared" si="53"/>
        <v>0</v>
      </c>
      <c r="M73" s="64"/>
      <c r="N73" s="58">
        <v>42218</v>
      </c>
      <c r="O73" s="34">
        <f t="shared" si="57"/>
        <v>0</v>
      </c>
      <c r="P73" s="80">
        <f t="shared" si="58"/>
        <v>0</v>
      </c>
      <c r="Q73" s="80">
        <f t="shared" si="25"/>
        <v>0</v>
      </c>
      <c r="R73" s="79">
        <f t="shared" si="59"/>
        <v>39425.133689839568</v>
      </c>
      <c r="S73" s="81">
        <f t="shared" si="60"/>
        <v>0.90507653098805252</v>
      </c>
      <c r="T73" s="80">
        <f t="shared" si="61"/>
        <v>4.3347743220061652</v>
      </c>
      <c r="U73" s="83">
        <f>LOOKUP(N73,'weather data'!$B$7:$B$158,'weather data'!$C$7:$C$158)</f>
        <v>0</v>
      </c>
      <c r="V73" s="83">
        <f t="shared" si="62"/>
        <v>0</v>
      </c>
      <c r="W73" s="83">
        <f t="shared" si="63"/>
        <v>1.4400000000000004</v>
      </c>
      <c r="X73" s="75">
        <f>LOOKUP(N73,'weather data'!$B$7:$B$158,'weather data'!$D$7:$D$158)</f>
        <v>0.23</v>
      </c>
      <c r="Y73" s="165">
        <v>1.05</v>
      </c>
      <c r="Z73" s="165">
        <f t="shared" si="28"/>
        <v>0.68250000000000011</v>
      </c>
      <c r="AA73" s="165">
        <v>1.05</v>
      </c>
      <c r="AB73" s="165">
        <f t="shared" si="29"/>
        <v>0.68250000000000011</v>
      </c>
      <c r="AC73" s="165">
        <v>1</v>
      </c>
      <c r="AD73" s="165">
        <f t="shared" si="30"/>
        <v>0.7</v>
      </c>
      <c r="AE73" s="165">
        <v>0.95</v>
      </c>
      <c r="AF73" s="165">
        <f t="shared" si="31"/>
        <v>0.8075</v>
      </c>
      <c r="AG73" s="155">
        <f t="shared" si="32"/>
        <v>0.72102500000000014</v>
      </c>
      <c r="AH73" s="87">
        <f t="shared" si="64"/>
        <v>1</v>
      </c>
      <c r="AI73" s="156">
        <f t="shared" si="54"/>
        <v>0.72102500000000014</v>
      </c>
      <c r="AJ73" s="82">
        <f t="shared" si="45"/>
        <v>0.16583575000000003</v>
      </c>
      <c r="AK73" s="82">
        <f t="shared" si="55"/>
        <v>0.16583575000000003</v>
      </c>
      <c r="AL73" s="82">
        <f t="shared" si="65"/>
        <v>8.5800470367462331</v>
      </c>
      <c r="AM73" s="157">
        <f t="shared" si="56"/>
        <v>1.0034166666666673</v>
      </c>
      <c r="AN73" s="24">
        <f t="shared" si="1"/>
        <v>4.6399999999999997</v>
      </c>
      <c r="AO73" s="51"/>
      <c r="AP73" s="51">
        <f t="shared" si="66"/>
        <v>7.3311999999999999</v>
      </c>
      <c r="AQ73" s="51">
        <f t="shared" si="34"/>
        <v>186.21248</v>
      </c>
      <c r="AR73" s="24">
        <f t="shared" si="67"/>
        <v>2.7125439999999998</v>
      </c>
      <c r="AS73" s="37">
        <f t="shared" si="68"/>
        <v>4.6186559999999997</v>
      </c>
      <c r="AT73" s="24">
        <f t="shared" si="69"/>
        <v>2.6394369647400655</v>
      </c>
      <c r="AU73" s="24">
        <f t="shared" si="46"/>
        <v>2.8052727147400653</v>
      </c>
      <c r="AV73" s="24">
        <f t="shared" si="70"/>
        <v>4.5259272852599342</v>
      </c>
      <c r="AW73" s="24">
        <f t="shared" si="71"/>
        <v>1</v>
      </c>
      <c r="AX73" s="24">
        <f t="shared" si="47"/>
        <v>0</v>
      </c>
      <c r="AY73" s="25">
        <f t="shared" si="72"/>
        <v>0</v>
      </c>
      <c r="AZ73" s="24">
        <f t="shared" si="48"/>
        <v>0</v>
      </c>
      <c r="BA73" s="48">
        <f t="shared" si="37"/>
        <v>0</v>
      </c>
      <c r="BB73" s="48">
        <f t="shared" si="73"/>
        <v>0</v>
      </c>
      <c r="BC73" s="24">
        <f t="shared" si="49"/>
        <v>0</v>
      </c>
      <c r="BD73" s="51">
        <f t="shared" si="74"/>
        <v>0</v>
      </c>
      <c r="BE73" s="86">
        <f t="shared" si="50"/>
        <v>5.7747743220061665</v>
      </c>
      <c r="BF73" s="30">
        <f t="shared" si="51"/>
        <v>0</v>
      </c>
      <c r="BG73" s="30">
        <f t="shared" si="75"/>
        <v>5.7747743220061665</v>
      </c>
    </row>
    <row r="74" spans="1:59" x14ac:dyDescent="0.25">
      <c r="A74" s="15">
        <v>42219</v>
      </c>
      <c r="B74">
        <v>0</v>
      </c>
      <c r="C74" s="54">
        <f t="shared" si="52"/>
        <v>0</v>
      </c>
      <c r="E74"/>
      <c r="G74" s="15"/>
      <c r="J74" s="8"/>
      <c r="L74" s="78">
        <f t="shared" si="53"/>
        <v>0</v>
      </c>
      <c r="M74" s="64"/>
      <c r="N74" s="58">
        <v>42219</v>
      </c>
      <c r="O74" s="34">
        <f t="shared" si="57"/>
        <v>0</v>
      </c>
      <c r="P74" s="80">
        <f t="shared" si="58"/>
        <v>0</v>
      </c>
      <c r="Q74" s="80">
        <f t="shared" si="25"/>
        <v>0</v>
      </c>
      <c r="R74" s="79">
        <f t="shared" si="59"/>
        <v>39425.133689839568</v>
      </c>
      <c r="S74" s="81">
        <f t="shared" si="60"/>
        <v>0.90507653098805252</v>
      </c>
      <c r="T74" s="80">
        <f t="shared" si="61"/>
        <v>4.3347743220061652</v>
      </c>
      <c r="U74" s="83">
        <f>LOOKUP(N74,'weather data'!$B$7:$B$158,'weather data'!$C$7:$C$158)</f>
        <v>0.52</v>
      </c>
      <c r="V74" s="83">
        <f t="shared" si="62"/>
        <v>0.41600000000000004</v>
      </c>
      <c r="W74" s="83">
        <f t="shared" si="63"/>
        <v>1.8560000000000003</v>
      </c>
      <c r="X74" s="75">
        <f>LOOKUP(N74,'weather data'!$B$7:$B$158,'weather data'!$D$7:$D$158)</f>
        <v>0.05</v>
      </c>
      <c r="Y74" s="165">
        <v>1.05</v>
      </c>
      <c r="Z74" s="165">
        <f t="shared" si="28"/>
        <v>0.68250000000000011</v>
      </c>
      <c r="AA74" s="165">
        <v>1.05</v>
      </c>
      <c r="AB74" s="165">
        <f t="shared" si="29"/>
        <v>0.68250000000000011</v>
      </c>
      <c r="AC74" s="165">
        <v>1</v>
      </c>
      <c r="AD74" s="165">
        <f t="shared" si="30"/>
        <v>0.7</v>
      </c>
      <c r="AE74" s="165">
        <v>0.95</v>
      </c>
      <c r="AF74" s="165">
        <f t="shared" si="31"/>
        <v>0.8075</v>
      </c>
      <c r="AG74" s="155">
        <f t="shared" si="32"/>
        <v>0.72102500000000014</v>
      </c>
      <c r="AH74" s="87">
        <f t="shared" si="64"/>
        <v>0.97992300904417529</v>
      </c>
      <c r="AI74" s="156">
        <f t="shared" si="54"/>
        <v>0.70654898759607665</v>
      </c>
      <c r="AJ74" s="82">
        <f t="shared" si="45"/>
        <v>3.6051250000000007E-2</v>
      </c>
      <c r="AK74" s="82">
        <f t="shared" si="55"/>
        <v>3.5327449379803831E-2</v>
      </c>
      <c r="AL74" s="82">
        <f t="shared" si="65"/>
        <v>8.6153744861260364</v>
      </c>
      <c r="AM74" s="157">
        <f t="shared" si="56"/>
        <v>1.0034166666666673</v>
      </c>
      <c r="AN74" s="24">
        <f t="shared" si="1"/>
        <v>4.6399999999999997</v>
      </c>
      <c r="AO74" s="51"/>
      <c r="AP74" s="51">
        <f t="shared" si="66"/>
        <v>7.3311999999999999</v>
      </c>
      <c r="AQ74" s="51">
        <f t="shared" si="34"/>
        <v>186.21248</v>
      </c>
      <c r="AR74" s="24">
        <f t="shared" si="67"/>
        <v>2.7125439999999998</v>
      </c>
      <c r="AS74" s="37">
        <f t="shared" si="68"/>
        <v>4.6186559999999997</v>
      </c>
      <c r="AT74" s="24">
        <f t="shared" si="69"/>
        <v>2.8052727147400653</v>
      </c>
      <c r="AU74" s="24">
        <f t="shared" si="46"/>
        <v>2.4246001641198691</v>
      </c>
      <c r="AV74" s="24">
        <f t="shared" si="70"/>
        <v>4.9065998358801313</v>
      </c>
      <c r="AW74" s="24">
        <f t="shared" si="71"/>
        <v>0.97992300904417529</v>
      </c>
      <c r="AX74" s="24">
        <f t="shared" si="47"/>
        <v>0</v>
      </c>
      <c r="AY74" s="25">
        <f t="shared" si="72"/>
        <v>0</v>
      </c>
      <c r="AZ74" s="24">
        <f t="shared" si="48"/>
        <v>0</v>
      </c>
      <c r="BA74" s="48">
        <f t="shared" si="37"/>
        <v>0</v>
      </c>
      <c r="BB74" s="48">
        <f t="shared" si="73"/>
        <v>0</v>
      </c>
      <c r="BC74" s="24">
        <f t="shared" si="49"/>
        <v>0</v>
      </c>
      <c r="BD74" s="51">
        <f t="shared" si="74"/>
        <v>0</v>
      </c>
      <c r="BE74" s="86">
        <f t="shared" si="50"/>
        <v>6.1907743220061668</v>
      </c>
      <c r="BF74" s="30">
        <f t="shared" si="51"/>
        <v>0.41600000000000004</v>
      </c>
      <c r="BG74" s="30">
        <f t="shared" si="75"/>
        <v>6.1907743220061668</v>
      </c>
    </row>
    <row r="75" spans="1:59" x14ac:dyDescent="0.25">
      <c r="A75" s="15">
        <v>42220</v>
      </c>
      <c r="B75">
        <v>0</v>
      </c>
      <c r="C75" s="54">
        <f t="shared" si="52"/>
        <v>0</v>
      </c>
      <c r="E75"/>
      <c r="G75" s="15"/>
      <c r="J75" s="8"/>
      <c r="L75" s="78">
        <f t="shared" si="53"/>
        <v>0</v>
      </c>
      <c r="M75" s="64"/>
      <c r="N75" s="58">
        <v>42220</v>
      </c>
      <c r="O75" s="34">
        <f t="shared" si="57"/>
        <v>0</v>
      </c>
      <c r="P75" s="80">
        <f t="shared" si="58"/>
        <v>0</v>
      </c>
      <c r="Q75" s="80">
        <f t="shared" si="25"/>
        <v>0</v>
      </c>
      <c r="R75" s="79">
        <f t="shared" si="59"/>
        <v>39425.133689839568</v>
      </c>
      <c r="S75" s="81">
        <f t="shared" si="60"/>
        <v>0.90507653098805252</v>
      </c>
      <c r="T75" s="80">
        <f t="shared" si="61"/>
        <v>4.3347743220061652</v>
      </c>
      <c r="U75" s="83">
        <f>LOOKUP(N75,'weather data'!$B$7:$B$158,'weather data'!$C$7:$C$158)</f>
        <v>0</v>
      </c>
      <c r="V75" s="83">
        <f t="shared" si="62"/>
        <v>0</v>
      </c>
      <c r="W75" s="83">
        <f t="shared" si="63"/>
        <v>1.8560000000000003</v>
      </c>
      <c r="X75" s="75">
        <f>LOOKUP(N75,'weather data'!$B$7:$B$158,'weather data'!$D$7:$D$158)</f>
        <v>0.2</v>
      </c>
      <c r="Y75" s="165">
        <v>1.05</v>
      </c>
      <c r="Z75" s="165">
        <f t="shared" si="28"/>
        <v>0.68250000000000011</v>
      </c>
      <c r="AA75" s="165">
        <v>1.05</v>
      </c>
      <c r="AB75" s="165">
        <f t="shared" si="29"/>
        <v>0.68250000000000011</v>
      </c>
      <c r="AC75" s="165">
        <v>1</v>
      </c>
      <c r="AD75" s="165">
        <f t="shared" si="30"/>
        <v>0.7</v>
      </c>
      <c r="AE75" s="165">
        <v>0.95</v>
      </c>
      <c r="AF75" s="165">
        <f t="shared" si="31"/>
        <v>0.8075</v>
      </c>
      <c r="AG75" s="155">
        <f t="shared" si="32"/>
        <v>0.72102500000000014</v>
      </c>
      <c r="AH75" s="87">
        <f t="shared" si="64"/>
        <v>1</v>
      </c>
      <c r="AI75" s="156">
        <f t="shared" si="54"/>
        <v>0.72102500000000014</v>
      </c>
      <c r="AJ75" s="82">
        <f t="shared" ref="AJ75:AJ94" si="76">X75*AG75</f>
        <v>0.14420500000000003</v>
      </c>
      <c r="AK75" s="82">
        <f t="shared" si="55"/>
        <v>0.14420500000000003</v>
      </c>
      <c r="AL75" s="82">
        <f t="shared" si="65"/>
        <v>8.7595794861260359</v>
      </c>
      <c r="AM75" s="157">
        <f t="shared" si="56"/>
        <v>1.0034166666666673</v>
      </c>
      <c r="AN75" s="24">
        <f t="shared" ref="AN75:AN113" si="77">IF(AM75*($F$3-$F$2)+$F$2&lt;$F$3,AM75*($F$3-$F$2)+$F$2,$F$3)</f>
        <v>4.6399999999999997</v>
      </c>
      <c r="AO75" s="51"/>
      <c r="AP75" s="51">
        <f t="shared" si="66"/>
        <v>7.3311999999999999</v>
      </c>
      <c r="AQ75" s="51">
        <f t="shared" si="34"/>
        <v>186.21248</v>
      </c>
      <c r="AR75" s="24">
        <f t="shared" si="67"/>
        <v>2.7125439999999998</v>
      </c>
      <c r="AS75" s="37">
        <f t="shared" si="68"/>
        <v>4.6186559999999997</v>
      </c>
      <c r="AT75" s="24">
        <f t="shared" si="69"/>
        <v>2.4246001641198691</v>
      </c>
      <c r="AU75" s="24">
        <f t="shared" ref="AU75:AU94" si="78">IF(AT75+AK75-P75-V75&lt;0,0,AT75+AK75-P75-V75)</f>
        <v>2.568805164119869</v>
      </c>
      <c r="AV75" s="24">
        <f t="shared" si="70"/>
        <v>4.7623948358801309</v>
      </c>
      <c r="AW75" s="24">
        <f t="shared" si="71"/>
        <v>1</v>
      </c>
      <c r="AX75" s="24">
        <f t="shared" ref="AX75:AX94" si="79">IF(P75+V75-AK75&gt;AT75,P75+V75-AK75-AT75,0)</f>
        <v>0</v>
      </c>
      <c r="AY75" s="25">
        <f t="shared" si="72"/>
        <v>0</v>
      </c>
      <c r="AZ75" s="24">
        <f t="shared" ref="AZ75:AZ94" si="80">IF(AND(P75&lt;&gt;0,AX75&lt;&gt;0,V75&lt;&gt;0),P75*AX75/(P75+V75),IF(AND(P75&lt;&gt;0,AX75&lt;&gt;0),AX75,0))</f>
        <v>0</v>
      </c>
      <c r="BA75" s="48">
        <f t="shared" si="37"/>
        <v>0</v>
      </c>
      <c r="BB75" s="48">
        <f t="shared" si="73"/>
        <v>0</v>
      </c>
      <c r="BC75" s="24">
        <f t="shared" ref="BC75:BC94" si="81">IF(AND(P75&lt;&gt;0,AX75&lt;&gt;0,V75&lt;&gt;0),V75*AX75/(P75+V75),IF(AND(V75&lt;&gt;0,AX75&lt;&gt;0),AX75,0))</f>
        <v>0</v>
      </c>
      <c r="BD75" s="51">
        <f t="shared" si="74"/>
        <v>0</v>
      </c>
      <c r="BE75" s="86">
        <f t="shared" ref="BE75:BE94" si="82">P75+V75+BE74</f>
        <v>6.1907743220061668</v>
      </c>
      <c r="BF75" s="30">
        <f t="shared" ref="BF75:BF94" si="83">P75+V75-AX75</f>
        <v>0</v>
      </c>
      <c r="BG75" s="30">
        <f t="shared" si="75"/>
        <v>6.1907743220061668</v>
      </c>
    </row>
    <row r="76" spans="1:59" x14ac:dyDescent="0.25">
      <c r="A76" s="15">
        <v>42221</v>
      </c>
      <c r="B76">
        <v>0</v>
      </c>
      <c r="C76" s="54">
        <f t="shared" si="52"/>
        <v>0</v>
      </c>
      <c r="E76"/>
      <c r="G76" s="15"/>
      <c r="J76" s="8"/>
      <c r="L76" s="78">
        <f t="shared" si="53"/>
        <v>0</v>
      </c>
      <c r="M76" s="64"/>
      <c r="N76" s="58">
        <v>42221</v>
      </c>
      <c r="O76" s="34">
        <f t="shared" si="57"/>
        <v>0</v>
      </c>
      <c r="P76" s="80">
        <f t="shared" si="58"/>
        <v>0</v>
      </c>
      <c r="Q76" s="80">
        <f t="shared" ref="Q76:Q113" si="84">P76*25.4</f>
        <v>0</v>
      </c>
      <c r="R76" s="79">
        <f t="shared" si="59"/>
        <v>39425.133689839568</v>
      </c>
      <c r="S76" s="81">
        <f t="shared" si="60"/>
        <v>0.90507653098805252</v>
      </c>
      <c r="T76" s="80">
        <f t="shared" si="61"/>
        <v>4.3347743220061652</v>
      </c>
      <c r="U76" s="83">
        <f>LOOKUP(N76,'weather data'!$B$7:$B$158,'weather data'!$C$7:$C$158)</f>
        <v>0</v>
      </c>
      <c r="V76" s="83">
        <f t="shared" si="62"/>
        <v>0</v>
      </c>
      <c r="W76" s="83">
        <f t="shared" si="63"/>
        <v>1.8560000000000003</v>
      </c>
      <c r="X76" s="75">
        <f>LOOKUP(N76,'weather data'!$B$7:$B$158,'weather data'!$D$7:$D$158)</f>
        <v>0.16</v>
      </c>
      <c r="Y76" s="165">
        <v>1.05</v>
      </c>
      <c r="Z76" s="165">
        <f t="shared" ref="Z76:Z113" si="85">Y76*0.65</f>
        <v>0.68250000000000011</v>
      </c>
      <c r="AA76" s="165">
        <v>1.05</v>
      </c>
      <c r="AB76" s="165">
        <f t="shared" ref="AB76:AB113" si="86">AA76*0.65</f>
        <v>0.68250000000000011</v>
      </c>
      <c r="AC76" s="165">
        <v>1</v>
      </c>
      <c r="AD76" s="165">
        <f t="shared" ref="AD76:AD113" si="87">AC76*0.7</f>
        <v>0.7</v>
      </c>
      <c r="AE76" s="165">
        <v>0.95</v>
      </c>
      <c r="AF76" s="165">
        <f t="shared" ref="AF76:AF113" si="88">AE76*0.85</f>
        <v>0.8075</v>
      </c>
      <c r="AG76" s="155">
        <f t="shared" ref="AG76:AG113" si="89">Z76*$F$5+AB76*$F$6+AD76*$F$7+AF76*$F$8</f>
        <v>0.72102500000000014</v>
      </c>
      <c r="AH76" s="87">
        <f t="shared" si="64"/>
        <v>1</v>
      </c>
      <c r="AI76" s="156">
        <f t="shared" si="54"/>
        <v>0.72102500000000014</v>
      </c>
      <c r="AJ76" s="82">
        <f t="shared" si="76"/>
        <v>0.11536400000000002</v>
      </c>
      <c r="AK76" s="82">
        <f t="shared" si="55"/>
        <v>0.11536400000000002</v>
      </c>
      <c r="AL76" s="82">
        <f t="shared" si="65"/>
        <v>8.8749434861260355</v>
      </c>
      <c r="AM76" s="157">
        <f t="shared" si="56"/>
        <v>1.0034166666666673</v>
      </c>
      <c r="AN76" s="24">
        <f t="shared" si="77"/>
        <v>4.6399999999999997</v>
      </c>
      <c r="AO76" s="51"/>
      <c r="AP76" s="51">
        <f t="shared" si="66"/>
        <v>7.3311999999999999</v>
      </c>
      <c r="AQ76" s="51">
        <f t="shared" ref="AQ76:AQ113" si="90">AP76*25.4</f>
        <v>186.21248</v>
      </c>
      <c r="AR76" s="24">
        <f t="shared" si="67"/>
        <v>2.7125439999999998</v>
      </c>
      <c r="AS76" s="37">
        <f t="shared" si="68"/>
        <v>4.6186559999999997</v>
      </c>
      <c r="AT76" s="24">
        <f t="shared" si="69"/>
        <v>2.568805164119869</v>
      </c>
      <c r="AU76" s="24">
        <f t="shared" si="78"/>
        <v>2.6841691641198691</v>
      </c>
      <c r="AV76" s="24">
        <f t="shared" si="70"/>
        <v>4.6470308358801304</v>
      </c>
      <c r="AW76" s="24">
        <f t="shared" si="71"/>
        <v>1</v>
      </c>
      <c r="AX76" s="24">
        <f t="shared" si="79"/>
        <v>0</v>
      </c>
      <c r="AY76" s="25">
        <f t="shared" si="72"/>
        <v>0</v>
      </c>
      <c r="AZ76" s="24">
        <f t="shared" si="80"/>
        <v>0</v>
      </c>
      <c r="BA76" s="48">
        <f t="shared" ref="BA76:BA113" si="91">AZ76*25.4</f>
        <v>0</v>
      </c>
      <c r="BB76" s="48">
        <f t="shared" si="73"/>
        <v>0</v>
      </c>
      <c r="BC76" s="24">
        <f t="shared" si="81"/>
        <v>0</v>
      </c>
      <c r="BD76" s="51">
        <f t="shared" si="74"/>
        <v>0</v>
      </c>
      <c r="BE76" s="86">
        <f t="shared" si="82"/>
        <v>6.1907743220061668</v>
      </c>
      <c r="BF76" s="30">
        <f t="shared" si="83"/>
        <v>0</v>
      </c>
      <c r="BG76" s="30">
        <f t="shared" si="75"/>
        <v>6.1907743220061668</v>
      </c>
    </row>
    <row r="77" spans="1:59" x14ac:dyDescent="0.25">
      <c r="A77" s="15">
        <v>42222</v>
      </c>
      <c r="B77">
        <v>0</v>
      </c>
      <c r="C77" s="54">
        <f t="shared" si="52"/>
        <v>0</v>
      </c>
      <c r="E77"/>
      <c r="G77" s="15"/>
      <c r="J77" s="8"/>
      <c r="L77" s="78">
        <f t="shared" si="53"/>
        <v>0</v>
      </c>
      <c r="M77" s="64"/>
      <c r="N77" s="58">
        <v>42222</v>
      </c>
      <c r="O77" s="34">
        <f t="shared" si="57"/>
        <v>0</v>
      </c>
      <c r="P77" s="80">
        <f t="shared" si="58"/>
        <v>0</v>
      </c>
      <c r="Q77" s="80">
        <f t="shared" si="84"/>
        <v>0</v>
      </c>
      <c r="R77" s="79">
        <f t="shared" si="59"/>
        <v>39425.133689839568</v>
      </c>
      <c r="S77" s="81">
        <f t="shared" si="60"/>
        <v>0.90507653098805252</v>
      </c>
      <c r="T77" s="80">
        <f t="shared" si="61"/>
        <v>4.3347743220061652</v>
      </c>
      <c r="U77" s="83">
        <f>LOOKUP(N77,'weather data'!$B$7:$B$158,'weather data'!$C$7:$C$158)</f>
        <v>0</v>
      </c>
      <c r="V77" s="83">
        <f t="shared" si="62"/>
        <v>0</v>
      </c>
      <c r="W77" s="83">
        <f t="shared" si="63"/>
        <v>1.8560000000000003</v>
      </c>
      <c r="X77" s="75">
        <f>LOOKUP(N77,'weather data'!$B$7:$B$158,'weather data'!$D$7:$D$158)</f>
        <v>0.21</v>
      </c>
      <c r="Y77" s="165">
        <v>1.05</v>
      </c>
      <c r="Z77" s="165">
        <f t="shared" si="85"/>
        <v>0.68250000000000011</v>
      </c>
      <c r="AA77" s="165">
        <v>1.05</v>
      </c>
      <c r="AB77" s="165">
        <f t="shared" si="86"/>
        <v>0.68250000000000011</v>
      </c>
      <c r="AC77" s="165">
        <v>1</v>
      </c>
      <c r="AD77" s="165">
        <f t="shared" si="87"/>
        <v>0.7</v>
      </c>
      <c r="AE77" s="165">
        <v>0.95</v>
      </c>
      <c r="AF77" s="165">
        <f t="shared" si="88"/>
        <v>0.8075</v>
      </c>
      <c r="AG77" s="155">
        <f t="shared" si="89"/>
        <v>0.72102500000000014</v>
      </c>
      <c r="AH77" s="87">
        <f t="shared" si="64"/>
        <v>1</v>
      </c>
      <c r="AI77" s="156">
        <f t="shared" si="54"/>
        <v>0.72102500000000014</v>
      </c>
      <c r="AJ77" s="82">
        <f t="shared" si="76"/>
        <v>0.15141525000000003</v>
      </c>
      <c r="AK77" s="82">
        <f t="shared" si="55"/>
        <v>0.15141525000000003</v>
      </c>
      <c r="AL77" s="82">
        <f t="shared" si="65"/>
        <v>9.0263587361260349</v>
      </c>
      <c r="AM77" s="157">
        <f t="shared" si="56"/>
        <v>1.0034166666666673</v>
      </c>
      <c r="AN77" s="24">
        <f t="shared" si="77"/>
        <v>4.6399999999999997</v>
      </c>
      <c r="AO77" s="51"/>
      <c r="AP77" s="51">
        <f t="shared" si="66"/>
        <v>7.3311999999999999</v>
      </c>
      <c r="AQ77" s="51">
        <f t="shared" si="90"/>
        <v>186.21248</v>
      </c>
      <c r="AR77" s="24">
        <f t="shared" si="67"/>
        <v>2.7125439999999998</v>
      </c>
      <c r="AS77" s="37">
        <f t="shared" si="68"/>
        <v>4.6186559999999997</v>
      </c>
      <c r="AT77" s="24">
        <f t="shared" si="69"/>
        <v>2.6841691641198691</v>
      </c>
      <c r="AU77" s="24">
        <f t="shared" si="78"/>
        <v>2.8355844141198689</v>
      </c>
      <c r="AV77" s="24">
        <f t="shared" si="70"/>
        <v>4.495615585880131</v>
      </c>
      <c r="AW77" s="24">
        <f t="shared" si="71"/>
        <v>1</v>
      </c>
      <c r="AX77" s="24">
        <f t="shared" si="79"/>
        <v>0</v>
      </c>
      <c r="AY77" s="25">
        <f t="shared" si="72"/>
        <v>0</v>
      </c>
      <c r="AZ77" s="24">
        <f t="shared" si="80"/>
        <v>0</v>
      </c>
      <c r="BA77" s="48">
        <f t="shared" si="91"/>
        <v>0</v>
      </c>
      <c r="BB77" s="48">
        <f t="shared" si="73"/>
        <v>0</v>
      </c>
      <c r="BC77" s="24">
        <f t="shared" si="81"/>
        <v>0</v>
      </c>
      <c r="BD77" s="51">
        <f t="shared" si="74"/>
        <v>0</v>
      </c>
      <c r="BE77" s="86">
        <f t="shared" si="82"/>
        <v>6.1907743220061668</v>
      </c>
      <c r="BF77" s="30">
        <f t="shared" si="83"/>
        <v>0</v>
      </c>
      <c r="BG77" s="30">
        <f t="shared" si="75"/>
        <v>6.1907743220061668</v>
      </c>
    </row>
    <row r="78" spans="1:59" x14ac:dyDescent="0.25">
      <c r="A78" s="15">
        <v>42223</v>
      </c>
      <c r="B78">
        <v>27380</v>
      </c>
      <c r="C78" s="54">
        <f t="shared" si="52"/>
        <v>3660.4278074866306</v>
      </c>
      <c r="E78"/>
      <c r="G78" s="15"/>
      <c r="J78" s="8"/>
      <c r="L78" s="78">
        <f t="shared" si="53"/>
        <v>3660.4278074866306</v>
      </c>
      <c r="M78" s="64"/>
      <c r="N78" s="58">
        <v>42223</v>
      </c>
      <c r="O78" s="34">
        <f t="shared" si="57"/>
        <v>3660.4278074866306</v>
      </c>
      <c r="P78" s="80">
        <f t="shared" si="58"/>
        <v>0.40246226156842591</v>
      </c>
      <c r="Q78" s="80">
        <f t="shared" si="84"/>
        <v>10.222541443838017</v>
      </c>
      <c r="R78" s="79">
        <f t="shared" si="59"/>
        <v>43085.561497326198</v>
      </c>
      <c r="S78" s="81">
        <f t="shared" si="60"/>
        <v>0.98910839066405409</v>
      </c>
      <c r="T78" s="80">
        <f t="shared" si="61"/>
        <v>4.7372365835745907</v>
      </c>
      <c r="U78" s="83">
        <f>LOOKUP(N78,'weather data'!$B$7:$B$158,'weather data'!$C$7:$C$158)</f>
        <v>0.1</v>
      </c>
      <c r="V78" s="83">
        <f t="shared" si="62"/>
        <v>8.0000000000000016E-2</v>
      </c>
      <c r="W78" s="83">
        <f t="shared" si="63"/>
        <v>1.9360000000000004</v>
      </c>
      <c r="X78" s="75">
        <f>LOOKUP(N78,'weather data'!$B$7:$B$158,'weather data'!$D$7:$D$158)</f>
        <v>0.09</v>
      </c>
      <c r="Y78" s="165">
        <v>1.05</v>
      </c>
      <c r="Z78" s="165">
        <f t="shared" si="85"/>
        <v>0.68250000000000011</v>
      </c>
      <c r="AA78" s="165">
        <v>1.05</v>
      </c>
      <c r="AB78" s="165">
        <f t="shared" si="86"/>
        <v>0.68250000000000011</v>
      </c>
      <c r="AC78" s="165">
        <v>1</v>
      </c>
      <c r="AD78" s="165">
        <f t="shared" si="87"/>
        <v>0.7</v>
      </c>
      <c r="AE78" s="165">
        <v>0.95</v>
      </c>
      <c r="AF78" s="165">
        <f t="shared" si="88"/>
        <v>0.8075</v>
      </c>
      <c r="AG78" s="155">
        <f t="shared" si="89"/>
        <v>0.72102500000000014</v>
      </c>
      <c r="AH78" s="87">
        <f t="shared" si="64"/>
        <v>0.97336012595008836</v>
      </c>
      <c r="AI78" s="156">
        <f t="shared" si="54"/>
        <v>0.70181698481316257</v>
      </c>
      <c r="AJ78" s="82">
        <f t="shared" si="76"/>
        <v>6.4892250000000012E-2</v>
      </c>
      <c r="AK78" s="82">
        <f t="shared" si="55"/>
        <v>6.316352863318464E-2</v>
      </c>
      <c r="AL78" s="82">
        <f t="shared" si="65"/>
        <v>9.0895222647592195</v>
      </c>
      <c r="AM78" s="157">
        <f t="shared" si="56"/>
        <v>1.0034166666666673</v>
      </c>
      <c r="AN78" s="24">
        <f t="shared" si="77"/>
        <v>4.6399999999999997</v>
      </c>
      <c r="AO78" s="51"/>
      <c r="AP78" s="51">
        <f t="shared" si="66"/>
        <v>7.3311999999999999</v>
      </c>
      <c r="AQ78" s="51">
        <f t="shared" si="90"/>
        <v>186.21248</v>
      </c>
      <c r="AR78" s="24">
        <f t="shared" si="67"/>
        <v>2.7125439999999998</v>
      </c>
      <c r="AS78" s="37">
        <f t="shared" si="68"/>
        <v>4.6186559999999997</v>
      </c>
      <c r="AT78" s="24">
        <f t="shared" si="69"/>
        <v>2.8355844141198689</v>
      </c>
      <c r="AU78" s="24">
        <f t="shared" si="78"/>
        <v>2.4162856811846276</v>
      </c>
      <c r="AV78" s="24">
        <f t="shared" si="70"/>
        <v>4.9149143188153719</v>
      </c>
      <c r="AW78" s="24">
        <f t="shared" si="71"/>
        <v>0.97336012595008847</v>
      </c>
      <c r="AX78" s="24">
        <f t="shared" si="79"/>
        <v>0</v>
      </c>
      <c r="AY78" s="25">
        <f t="shared" si="72"/>
        <v>0</v>
      </c>
      <c r="AZ78" s="24">
        <f t="shared" si="80"/>
        <v>0</v>
      </c>
      <c r="BA78" s="48">
        <f t="shared" si="91"/>
        <v>0</v>
      </c>
      <c r="BB78" s="48">
        <f t="shared" si="73"/>
        <v>0</v>
      </c>
      <c r="BC78" s="24">
        <f t="shared" si="81"/>
        <v>0</v>
      </c>
      <c r="BD78" s="51">
        <f t="shared" si="74"/>
        <v>0</v>
      </c>
      <c r="BE78" s="86">
        <f t="shared" si="82"/>
        <v>6.6732365835745924</v>
      </c>
      <c r="BF78" s="30">
        <f t="shared" si="83"/>
        <v>0.48246226156842592</v>
      </c>
      <c r="BG78" s="30">
        <f t="shared" si="75"/>
        <v>6.6732365835745924</v>
      </c>
    </row>
    <row r="79" spans="1:59" x14ac:dyDescent="0.25">
      <c r="A79" s="15">
        <v>42224</v>
      </c>
      <c r="B79">
        <v>0</v>
      </c>
      <c r="C79" s="54">
        <f t="shared" si="52"/>
        <v>0</v>
      </c>
      <c r="E79"/>
      <c r="G79" s="15"/>
      <c r="J79" s="8"/>
      <c r="L79" s="78">
        <f t="shared" si="53"/>
        <v>0</v>
      </c>
      <c r="M79" s="64"/>
      <c r="N79" s="58">
        <v>42224</v>
      </c>
      <c r="O79" s="34">
        <f t="shared" si="57"/>
        <v>0</v>
      </c>
      <c r="P79" s="80">
        <f t="shared" si="58"/>
        <v>0</v>
      </c>
      <c r="Q79" s="80">
        <f t="shared" si="84"/>
        <v>0</v>
      </c>
      <c r="R79" s="79">
        <f t="shared" si="59"/>
        <v>43085.561497326198</v>
      </c>
      <c r="S79" s="81">
        <f t="shared" si="60"/>
        <v>0.98910839066405409</v>
      </c>
      <c r="T79" s="80">
        <f t="shared" si="61"/>
        <v>4.7372365835745907</v>
      </c>
      <c r="U79" s="83">
        <f>LOOKUP(N79,'weather data'!$B$7:$B$158,'weather data'!$C$7:$C$158)</f>
        <v>0</v>
      </c>
      <c r="V79" s="83">
        <f t="shared" si="62"/>
        <v>0</v>
      </c>
      <c r="W79" s="83">
        <f t="shared" si="63"/>
        <v>1.9360000000000004</v>
      </c>
      <c r="X79" s="75">
        <f>LOOKUP(N79,'weather data'!$B$7:$B$158,'weather data'!$D$7:$D$158)</f>
        <v>0.15</v>
      </c>
      <c r="Y79" s="165">
        <v>1.05</v>
      </c>
      <c r="Z79" s="165">
        <f t="shared" si="85"/>
        <v>0.68250000000000011</v>
      </c>
      <c r="AA79" s="165">
        <v>1.05</v>
      </c>
      <c r="AB79" s="165">
        <f t="shared" si="86"/>
        <v>0.68250000000000011</v>
      </c>
      <c r="AC79" s="165">
        <v>1</v>
      </c>
      <c r="AD79" s="165">
        <f t="shared" si="87"/>
        <v>0.7</v>
      </c>
      <c r="AE79" s="165">
        <v>0.95</v>
      </c>
      <c r="AF79" s="165">
        <f t="shared" si="88"/>
        <v>0.8075</v>
      </c>
      <c r="AG79" s="155">
        <f t="shared" si="89"/>
        <v>0.72102500000000014</v>
      </c>
      <c r="AH79" s="87">
        <f t="shared" si="64"/>
        <v>1</v>
      </c>
      <c r="AI79" s="156">
        <f t="shared" si="54"/>
        <v>0.72102500000000014</v>
      </c>
      <c r="AJ79" s="82">
        <f t="shared" si="76"/>
        <v>0.10815375000000002</v>
      </c>
      <c r="AK79" s="82">
        <f t="shared" si="55"/>
        <v>0.10815375000000002</v>
      </c>
      <c r="AL79" s="82">
        <f t="shared" si="65"/>
        <v>9.1976760147592191</v>
      </c>
      <c r="AM79" s="157">
        <f t="shared" si="56"/>
        <v>1.0034166666666673</v>
      </c>
      <c r="AN79" s="24">
        <f t="shared" si="77"/>
        <v>4.6399999999999997</v>
      </c>
      <c r="AO79" s="51"/>
      <c r="AP79" s="51">
        <f t="shared" si="66"/>
        <v>7.3311999999999999</v>
      </c>
      <c r="AQ79" s="51">
        <f t="shared" si="90"/>
        <v>186.21248</v>
      </c>
      <c r="AR79" s="24">
        <f t="shared" si="67"/>
        <v>2.7125439999999998</v>
      </c>
      <c r="AS79" s="37">
        <f t="shared" si="68"/>
        <v>4.6186559999999997</v>
      </c>
      <c r="AT79" s="24">
        <f t="shared" si="69"/>
        <v>2.4162856811846276</v>
      </c>
      <c r="AU79" s="24">
        <f t="shared" si="78"/>
        <v>2.5244394311846277</v>
      </c>
      <c r="AV79" s="24">
        <f t="shared" si="70"/>
        <v>4.8067605688153723</v>
      </c>
      <c r="AW79" s="24">
        <f t="shared" si="71"/>
        <v>1</v>
      </c>
      <c r="AX79" s="24">
        <f t="shared" si="79"/>
        <v>0</v>
      </c>
      <c r="AY79" s="25">
        <f t="shared" si="72"/>
        <v>0</v>
      </c>
      <c r="AZ79" s="24">
        <f t="shared" si="80"/>
        <v>0</v>
      </c>
      <c r="BA79" s="48">
        <f t="shared" si="91"/>
        <v>0</v>
      </c>
      <c r="BB79" s="48">
        <f t="shared" si="73"/>
        <v>0</v>
      </c>
      <c r="BC79" s="24">
        <f t="shared" si="81"/>
        <v>0</v>
      </c>
      <c r="BD79" s="51">
        <f t="shared" si="74"/>
        <v>0</v>
      </c>
      <c r="BE79" s="86">
        <f t="shared" si="82"/>
        <v>6.6732365835745924</v>
      </c>
      <c r="BF79" s="30">
        <f t="shared" si="83"/>
        <v>0</v>
      </c>
      <c r="BG79" s="30">
        <f t="shared" si="75"/>
        <v>6.6732365835745924</v>
      </c>
    </row>
    <row r="80" spans="1:59" x14ac:dyDescent="0.25">
      <c r="A80" s="15">
        <v>42225</v>
      </c>
      <c r="B80">
        <v>0</v>
      </c>
      <c r="C80" s="54">
        <f t="shared" si="52"/>
        <v>0</v>
      </c>
      <c r="E80"/>
      <c r="G80" s="15"/>
      <c r="L80" s="78">
        <f t="shared" si="53"/>
        <v>0</v>
      </c>
      <c r="M80" s="64"/>
      <c r="N80" s="58">
        <v>42225</v>
      </c>
      <c r="O80" s="34">
        <f t="shared" si="57"/>
        <v>0</v>
      </c>
      <c r="P80" s="80">
        <f t="shared" si="58"/>
        <v>0</v>
      </c>
      <c r="Q80" s="80">
        <f t="shared" si="84"/>
        <v>0</v>
      </c>
      <c r="R80" s="79">
        <f t="shared" si="59"/>
        <v>43085.561497326198</v>
      </c>
      <c r="S80" s="81">
        <f t="shared" si="60"/>
        <v>0.98910839066405409</v>
      </c>
      <c r="T80" s="80">
        <f t="shared" si="61"/>
        <v>4.7372365835745907</v>
      </c>
      <c r="U80" s="83">
        <f>LOOKUP(N80,'weather data'!$B$7:$B$158,'weather data'!$C$7:$C$158)</f>
        <v>0</v>
      </c>
      <c r="V80" s="83">
        <f t="shared" si="62"/>
        <v>0</v>
      </c>
      <c r="W80" s="83">
        <f t="shared" si="63"/>
        <v>1.9360000000000004</v>
      </c>
      <c r="X80" s="75">
        <f>LOOKUP(N80,'weather data'!$B$7:$B$158,'weather data'!$D$7:$D$158)</f>
        <v>0.19</v>
      </c>
      <c r="Y80" s="165">
        <v>1.05</v>
      </c>
      <c r="Z80" s="165">
        <f t="shared" si="85"/>
        <v>0.68250000000000011</v>
      </c>
      <c r="AA80" s="165">
        <v>1.05</v>
      </c>
      <c r="AB80" s="165">
        <f t="shared" si="86"/>
        <v>0.68250000000000011</v>
      </c>
      <c r="AC80" s="165">
        <v>1</v>
      </c>
      <c r="AD80" s="165">
        <f t="shared" si="87"/>
        <v>0.7</v>
      </c>
      <c r="AE80" s="165">
        <v>0.95</v>
      </c>
      <c r="AF80" s="165">
        <f t="shared" si="88"/>
        <v>0.8075</v>
      </c>
      <c r="AG80" s="155">
        <f t="shared" si="89"/>
        <v>0.72102500000000014</v>
      </c>
      <c r="AH80" s="87">
        <f t="shared" si="64"/>
        <v>1</v>
      </c>
      <c r="AI80" s="156">
        <f t="shared" si="54"/>
        <v>0.72102500000000014</v>
      </c>
      <c r="AJ80" s="82">
        <f t="shared" si="76"/>
        <v>0.13699475000000003</v>
      </c>
      <c r="AK80" s="82">
        <f t="shared" si="55"/>
        <v>0.13699475000000003</v>
      </c>
      <c r="AL80" s="82">
        <f t="shared" si="65"/>
        <v>9.3346707647592186</v>
      </c>
      <c r="AM80" s="157">
        <f t="shared" si="56"/>
        <v>1.0034166666666673</v>
      </c>
      <c r="AN80" s="24">
        <f t="shared" si="77"/>
        <v>4.6399999999999997</v>
      </c>
      <c r="AO80" s="51"/>
      <c r="AP80" s="51">
        <f t="shared" si="66"/>
        <v>7.3311999999999999</v>
      </c>
      <c r="AQ80" s="51">
        <f t="shared" si="90"/>
        <v>186.21248</v>
      </c>
      <c r="AR80" s="24">
        <f t="shared" si="67"/>
        <v>2.7125439999999998</v>
      </c>
      <c r="AS80" s="37">
        <f t="shared" si="68"/>
        <v>4.6186559999999997</v>
      </c>
      <c r="AT80" s="24">
        <f t="shared" si="69"/>
        <v>2.5244394311846277</v>
      </c>
      <c r="AU80" s="24">
        <f t="shared" si="78"/>
        <v>2.6614341811846276</v>
      </c>
      <c r="AV80" s="24">
        <f t="shared" si="70"/>
        <v>4.6697658188153728</v>
      </c>
      <c r="AW80" s="24">
        <f t="shared" si="71"/>
        <v>1</v>
      </c>
      <c r="AX80" s="24">
        <f t="shared" si="79"/>
        <v>0</v>
      </c>
      <c r="AY80" s="25">
        <f t="shared" si="72"/>
        <v>0</v>
      </c>
      <c r="AZ80" s="24">
        <f t="shared" si="80"/>
        <v>0</v>
      </c>
      <c r="BA80" s="48">
        <f t="shared" si="91"/>
        <v>0</v>
      </c>
      <c r="BB80" s="48">
        <f t="shared" si="73"/>
        <v>0</v>
      </c>
      <c r="BC80" s="24">
        <f t="shared" si="81"/>
        <v>0</v>
      </c>
      <c r="BD80" s="51">
        <f t="shared" si="74"/>
        <v>0</v>
      </c>
      <c r="BE80" s="86">
        <f t="shared" si="82"/>
        <v>6.6732365835745924</v>
      </c>
      <c r="BF80" s="30">
        <f t="shared" si="83"/>
        <v>0</v>
      </c>
      <c r="BG80" s="30">
        <f t="shared" si="75"/>
        <v>6.6732365835745924</v>
      </c>
    </row>
    <row r="81" spans="1:59" x14ac:dyDescent="0.25">
      <c r="A81" s="15">
        <v>42226</v>
      </c>
      <c r="B81">
        <v>34110</v>
      </c>
      <c r="C81" s="54">
        <f t="shared" si="52"/>
        <v>4560.1604278074865</v>
      </c>
      <c r="E81"/>
      <c r="G81" s="15"/>
      <c r="L81" s="78">
        <f t="shared" si="53"/>
        <v>4560.1604278074865</v>
      </c>
      <c r="M81" s="64"/>
      <c r="N81" s="58">
        <v>42226</v>
      </c>
      <c r="O81" s="34">
        <f t="shared" si="57"/>
        <v>4560.1604278074865</v>
      </c>
      <c r="P81" s="80">
        <f t="shared" si="58"/>
        <v>0.50138742666541303</v>
      </c>
      <c r="Q81" s="80">
        <f t="shared" si="84"/>
        <v>12.735240637301491</v>
      </c>
      <c r="R81" s="79">
        <f t="shared" si="59"/>
        <v>47645.721925133686</v>
      </c>
      <c r="S81" s="81">
        <f t="shared" si="60"/>
        <v>1.0937952691720314</v>
      </c>
      <c r="T81" s="80">
        <f t="shared" si="61"/>
        <v>5.2386240102400041</v>
      </c>
      <c r="U81" s="83">
        <f>LOOKUP(N81,'weather data'!$B$7:$B$158,'weather data'!$C$7:$C$158)</f>
        <v>0</v>
      </c>
      <c r="V81" s="83">
        <f t="shared" si="62"/>
        <v>0</v>
      </c>
      <c r="W81" s="83">
        <f t="shared" si="63"/>
        <v>1.9360000000000004</v>
      </c>
      <c r="X81" s="75">
        <f>LOOKUP(N81,'weather data'!$B$7:$B$158,'weather data'!$D$7:$D$158)</f>
        <v>0.19</v>
      </c>
      <c r="Y81" s="165">
        <v>1.05</v>
      </c>
      <c r="Z81" s="165">
        <f t="shared" si="85"/>
        <v>0.68250000000000011</v>
      </c>
      <c r="AA81" s="165">
        <v>1.05</v>
      </c>
      <c r="AB81" s="165">
        <f t="shared" si="86"/>
        <v>0.68250000000000011</v>
      </c>
      <c r="AC81" s="165">
        <v>1</v>
      </c>
      <c r="AD81" s="165">
        <f t="shared" si="87"/>
        <v>0.7</v>
      </c>
      <c r="AE81" s="165">
        <f>AE80+(0.75-0.95)/25</f>
        <v>0.94199999999999995</v>
      </c>
      <c r="AF81" s="165">
        <f t="shared" si="88"/>
        <v>0.80069999999999997</v>
      </c>
      <c r="AG81" s="155">
        <f t="shared" si="89"/>
        <v>0.71905300000000005</v>
      </c>
      <c r="AH81" s="87">
        <f t="shared" si="64"/>
        <v>1</v>
      </c>
      <c r="AI81" s="156">
        <f t="shared" si="54"/>
        <v>0.71905300000000005</v>
      </c>
      <c r="AJ81" s="82">
        <f t="shared" si="76"/>
        <v>0.13662007000000001</v>
      </c>
      <c r="AK81" s="82">
        <f t="shared" si="55"/>
        <v>0.13662007000000001</v>
      </c>
      <c r="AL81" s="82">
        <f t="shared" si="65"/>
        <v>9.471290834759218</v>
      </c>
      <c r="AM81" s="157">
        <f t="shared" si="56"/>
        <v>0.99684333333333364</v>
      </c>
      <c r="AN81" s="24">
        <f t="shared" si="77"/>
        <v>4.6261422333333346</v>
      </c>
      <c r="AO81" s="51"/>
      <c r="AP81" s="51">
        <f t="shared" si="66"/>
        <v>7.3093047286666692</v>
      </c>
      <c r="AQ81" s="51">
        <f t="shared" si="90"/>
        <v>185.65634010813338</v>
      </c>
      <c r="AR81" s="24">
        <f t="shared" si="67"/>
        <v>2.7044427496066676</v>
      </c>
      <c r="AS81" s="37">
        <f t="shared" si="68"/>
        <v>4.6048619790600016</v>
      </c>
      <c r="AT81" s="24">
        <f t="shared" si="69"/>
        <v>2.6614341811846276</v>
      </c>
      <c r="AU81" s="24">
        <f t="shared" si="78"/>
        <v>2.2966668245192148</v>
      </c>
      <c r="AV81" s="24">
        <f t="shared" si="70"/>
        <v>5.0126379041474545</v>
      </c>
      <c r="AW81" s="24">
        <f t="shared" si="71"/>
        <v>1</v>
      </c>
      <c r="AX81" s="24">
        <f t="shared" si="79"/>
        <v>0</v>
      </c>
      <c r="AY81" s="25">
        <f t="shared" si="72"/>
        <v>0</v>
      </c>
      <c r="AZ81" s="24">
        <f t="shared" si="80"/>
        <v>0</v>
      </c>
      <c r="BA81" s="48">
        <f t="shared" si="91"/>
        <v>0</v>
      </c>
      <c r="BB81" s="48">
        <f t="shared" si="73"/>
        <v>0</v>
      </c>
      <c r="BC81" s="24">
        <f t="shared" si="81"/>
        <v>0</v>
      </c>
      <c r="BD81" s="51">
        <f t="shared" si="74"/>
        <v>0</v>
      </c>
      <c r="BE81" s="86">
        <f t="shared" si="82"/>
        <v>7.1746240102400058</v>
      </c>
      <c r="BF81" s="30">
        <f t="shared" si="83"/>
        <v>0.50138742666541303</v>
      </c>
      <c r="BG81" s="30">
        <f t="shared" si="75"/>
        <v>7.1746240102400058</v>
      </c>
    </row>
    <row r="82" spans="1:59" x14ac:dyDescent="0.25">
      <c r="A82" s="15">
        <v>42227</v>
      </c>
      <c r="B82">
        <v>0</v>
      </c>
      <c r="C82" s="54">
        <f t="shared" si="52"/>
        <v>0</v>
      </c>
      <c r="E82"/>
      <c r="G82" s="15"/>
      <c r="L82" s="78">
        <f t="shared" si="53"/>
        <v>0</v>
      </c>
      <c r="M82" s="64"/>
      <c r="N82" s="58">
        <v>42227</v>
      </c>
      <c r="O82" s="34">
        <f t="shared" si="57"/>
        <v>0</v>
      </c>
      <c r="P82" s="80">
        <f t="shared" si="58"/>
        <v>0</v>
      </c>
      <c r="Q82" s="80">
        <f t="shared" si="84"/>
        <v>0</v>
      </c>
      <c r="R82" s="79">
        <f t="shared" si="59"/>
        <v>47645.721925133686</v>
      </c>
      <c r="S82" s="81">
        <f t="shared" si="60"/>
        <v>1.0937952691720314</v>
      </c>
      <c r="T82" s="80">
        <f t="shared" si="61"/>
        <v>5.2386240102400041</v>
      </c>
      <c r="U82" s="83">
        <f>LOOKUP(N82,'weather data'!$B$7:$B$158,'weather data'!$C$7:$C$158)</f>
        <v>0.2</v>
      </c>
      <c r="V82" s="83">
        <f t="shared" si="62"/>
        <v>0.16000000000000003</v>
      </c>
      <c r="W82" s="83">
        <f t="shared" si="63"/>
        <v>2.0960000000000005</v>
      </c>
      <c r="X82" s="75">
        <f>LOOKUP(N82,'weather data'!$B$7:$B$158,'weather data'!$D$7:$D$158)</f>
        <v>0.21</v>
      </c>
      <c r="Y82" s="165">
        <v>1.05</v>
      </c>
      <c r="Z82" s="165">
        <f t="shared" si="85"/>
        <v>0.68250000000000011</v>
      </c>
      <c r="AA82" s="165">
        <v>1.05</v>
      </c>
      <c r="AB82" s="165">
        <f t="shared" si="86"/>
        <v>0.68250000000000011</v>
      </c>
      <c r="AC82" s="165">
        <f>AC81+(0.75-1)/18</f>
        <v>0.98611111111111116</v>
      </c>
      <c r="AD82" s="165">
        <f t="shared" si="87"/>
        <v>0.69027777777777777</v>
      </c>
      <c r="AE82" s="165">
        <f t="shared" ref="AE82:AE113" si="92">AE81+(0.75-0.95)/25</f>
        <v>0.93399999999999994</v>
      </c>
      <c r="AF82" s="165">
        <f t="shared" si="88"/>
        <v>0.79389999999999994</v>
      </c>
      <c r="AG82" s="155">
        <f t="shared" si="89"/>
        <v>0.71581711111111113</v>
      </c>
      <c r="AH82" s="87">
        <f t="shared" si="64"/>
        <v>1</v>
      </c>
      <c r="AI82" s="156">
        <f t="shared" si="54"/>
        <v>0.71581711111111113</v>
      </c>
      <c r="AJ82" s="82">
        <f t="shared" si="76"/>
        <v>0.15032159333333334</v>
      </c>
      <c r="AK82" s="82">
        <f t="shared" si="55"/>
        <v>0.15032159333333334</v>
      </c>
      <c r="AL82" s="82">
        <f t="shared" si="65"/>
        <v>9.6216124280925506</v>
      </c>
      <c r="AM82" s="157">
        <v>1</v>
      </c>
      <c r="AN82" s="24">
        <f t="shared" si="77"/>
        <v>4.6399999999999997</v>
      </c>
      <c r="AO82" s="51"/>
      <c r="AP82" s="51">
        <f t="shared" si="66"/>
        <v>7.3311999999999999</v>
      </c>
      <c r="AQ82" s="51">
        <f t="shared" si="90"/>
        <v>186.21248</v>
      </c>
      <c r="AR82" s="24">
        <f t="shared" si="67"/>
        <v>2.7125439999999998</v>
      </c>
      <c r="AS82" s="37">
        <f t="shared" si="68"/>
        <v>4.6186559999999997</v>
      </c>
      <c r="AT82" s="24">
        <f t="shared" si="69"/>
        <v>2.2966668245192148</v>
      </c>
      <c r="AU82" s="24">
        <f t="shared" si="78"/>
        <v>2.2869884178525481</v>
      </c>
      <c r="AV82" s="24">
        <f t="shared" si="70"/>
        <v>5.0442115821474518</v>
      </c>
      <c r="AW82" s="24">
        <f t="shared" si="71"/>
        <v>1</v>
      </c>
      <c r="AX82" s="24">
        <f t="shared" si="79"/>
        <v>0</v>
      </c>
      <c r="AY82" s="25">
        <f t="shared" si="72"/>
        <v>0</v>
      </c>
      <c r="AZ82" s="24">
        <f t="shared" si="80"/>
        <v>0</v>
      </c>
      <c r="BA82" s="48">
        <f t="shared" si="91"/>
        <v>0</v>
      </c>
      <c r="BB82" s="48">
        <f t="shared" si="73"/>
        <v>0</v>
      </c>
      <c r="BC82" s="24">
        <f t="shared" si="81"/>
        <v>0</v>
      </c>
      <c r="BD82" s="51">
        <f t="shared" si="74"/>
        <v>0</v>
      </c>
      <c r="BE82" s="86">
        <f t="shared" si="82"/>
        <v>7.334624010240006</v>
      </c>
      <c r="BF82" s="30">
        <f t="shared" si="83"/>
        <v>0.16000000000000003</v>
      </c>
      <c r="BG82" s="30">
        <f t="shared" si="75"/>
        <v>7.334624010240006</v>
      </c>
    </row>
    <row r="83" spans="1:59" x14ac:dyDescent="0.25">
      <c r="A83" s="15">
        <v>42228</v>
      </c>
      <c r="B83">
        <v>0</v>
      </c>
      <c r="C83" s="54">
        <f t="shared" si="52"/>
        <v>0</v>
      </c>
      <c r="E83"/>
      <c r="G83" s="15"/>
      <c r="L83" s="78">
        <f t="shared" si="53"/>
        <v>0</v>
      </c>
      <c r="M83" s="64"/>
      <c r="N83" s="58">
        <v>42228</v>
      </c>
      <c r="O83" s="34">
        <f t="shared" si="57"/>
        <v>0</v>
      </c>
      <c r="P83" s="80">
        <f t="shared" si="58"/>
        <v>0</v>
      </c>
      <c r="Q83" s="80">
        <f t="shared" si="84"/>
        <v>0</v>
      </c>
      <c r="R83" s="79">
        <f t="shared" si="59"/>
        <v>47645.721925133686</v>
      </c>
      <c r="S83" s="81">
        <f t="shared" si="60"/>
        <v>1.0937952691720314</v>
      </c>
      <c r="T83" s="80">
        <f t="shared" si="61"/>
        <v>5.2386240102400041</v>
      </c>
      <c r="U83" s="83">
        <f>LOOKUP(N83,'weather data'!$B$7:$B$158,'weather data'!$C$7:$C$158)</f>
        <v>0</v>
      </c>
      <c r="V83" s="83">
        <f t="shared" si="62"/>
        <v>0</v>
      </c>
      <c r="W83" s="83">
        <f t="shared" si="63"/>
        <v>2.0960000000000005</v>
      </c>
      <c r="X83" s="75">
        <f>LOOKUP(N83,'weather data'!$B$7:$B$158,'weather data'!$D$7:$D$158)</f>
        <v>0.17</v>
      </c>
      <c r="Y83" s="165">
        <v>1.05</v>
      </c>
      <c r="Z83" s="165">
        <f t="shared" si="85"/>
        <v>0.68250000000000011</v>
      </c>
      <c r="AA83" s="165">
        <v>1.05</v>
      </c>
      <c r="AB83" s="165">
        <f t="shared" si="86"/>
        <v>0.68250000000000011</v>
      </c>
      <c r="AC83" s="165">
        <f t="shared" ref="AC83:AC113" si="93">AC82+(0.75-1)/18</f>
        <v>0.97222222222222232</v>
      </c>
      <c r="AD83" s="165">
        <f t="shared" si="87"/>
        <v>0.68055555555555558</v>
      </c>
      <c r="AE83" s="165">
        <f t="shared" si="92"/>
        <v>0.92599999999999993</v>
      </c>
      <c r="AF83" s="165">
        <f t="shared" si="88"/>
        <v>0.78709999999999991</v>
      </c>
      <c r="AG83" s="155">
        <f t="shared" si="89"/>
        <v>0.71258122222222231</v>
      </c>
      <c r="AH83" s="87">
        <f t="shared" si="64"/>
        <v>1</v>
      </c>
      <c r="AI83" s="156">
        <f t="shared" si="54"/>
        <v>0.71258122222222231</v>
      </c>
      <c r="AJ83" s="82">
        <f t="shared" si="76"/>
        <v>0.1211388077777778</v>
      </c>
      <c r="AK83" s="82">
        <f t="shared" si="55"/>
        <v>0.1211388077777778</v>
      </c>
      <c r="AL83" s="82">
        <f t="shared" si="65"/>
        <v>9.7427512358703279</v>
      </c>
      <c r="AM83" s="157">
        <v>1</v>
      </c>
      <c r="AN83" s="24">
        <f t="shared" si="77"/>
        <v>4.6399999999999997</v>
      </c>
      <c r="AO83" s="51"/>
      <c r="AP83" s="51">
        <f t="shared" si="66"/>
        <v>7.3311999999999999</v>
      </c>
      <c r="AQ83" s="51">
        <f t="shared" si="90"/>
        <v>186.21248</v>
      </c>
      <c r="AR83" s="24">
        <f t="shared" si="67"/>
        <v>2.7125439999999998</v>
      </c>
      <c r="AS83" s="37">
        <f t="shared" si="68"/>
        <v>4.6186559999999997</v>
      </c>
      <c r="AT83" s="24">
        <f t="shared" si="69"/>
        <v>2.2869884178525481</v>
      </c>
      <c r="AU83" s="24">
        <f t="shared" si="78"/>
        <v>2.4081272256303259</v>
      </c>
      <c r="AV83" s="24">
        <f t="shared" si="70"/>
        <v>4.9230727743696736</v>
      </c>
      <c r="AW83" s="24">
        <f t="shared" si="71"/>
        <v>1</v>
      </c>
      <c r="AX83" s="24">
        <f t="shared" si="79"/>
        <v>0</v>
      </c>
      <c r="AY83" s="25">
        <f t="shared" si="72"/>
        <v>0</v>
      </c>
      <c r="AZ83" s="24">
        <f t="shared" si="80"/>
        <v>0</v>
      </c>
      <c r="BA83" s="48">
        <f t="shared" si="91"/>
        <v>0</v>
      </c>
      <c r="BB83" s="48">
        <f t="shared" si="73"/>
        <v>0</v>
      </c>
      <c r="BC83" s="24">
        <f t="shared" si="81"/>
        <v>0</v>
      </c>
      <c r="BD83" s="51">
        <f t="shared" si="74"/>
        <v>0</v>
      </c>
      <c r="BE83" s="86">
        <f t="shared" si="82"/>
        <v>7.334624010240006</v>
      </c>
      <c r="BF83" s="30">
        <f t="shared" si="83"/>
        <v>0</v>
      </c>
      <c r="BG83" s="30">
        <f t="shared" si="75"/>
        <v>7.334624010240006</v>
      </c>
    </row>
    <row r="84" spans="1:59" x14ac:dyDescent="0.25">
      <c r="A84" s="15">
        <v>42229</v>
      </c>
      <c r="B84">
        <v>0</v>
      </c>
      <c r="C84" s="54">
        <f t="shared" si="52"/>
        <v>0</v>
      </c>
      <c r="E84"/>
      <c r="G84" s="15"/>
      <c r="L84" s="78">
        <f t="shared" si="53"/>
        <v>0</v>
      </c>
      <c r="M84" s="64"/>
      <c r="N84" s="58">
        <v>42229</v>
      </c>
      <c r="O84" s="34">
        <f t="shared" si="57"/>
        <v>0</v>
      </c>
      <c r="P84" s="80">
        <f t="shared" si="58"/>
        <v>0</v>
      </c>
      <c r="Q84" s="80">
        <f t="shared" si="84"/>
        <v>0</v>
      </c>
      <c r="R84" s="79">
        <f t="shared" si="59"/>
        <v>47645.721925133686</v>
      </c>
      <c r="S84" s="81">
        <f t="shared" si="60"/>
        <v>1.0937952691720314</v>
      </c>
      <c r="T84" s="80">
        <f t="shared" si="61"/>
        <v>5.2386240102400041</v>
      </c>
      <c r="U84" s="83">
        <f>LOOKUP(N84,'weather data'!$B$7:$B$158,'weather data'!$C$7:$C$158)</f>
        <v>0</v>
      </c>
      <c r="V84" s="83">
        <f t="shared" si="62"/>
        <v>0</v>
      </c>
      <c r="W84" s="83">
        <f t="shared" si="63"/>
        <v>2.0960000000000005</v>
      </c>
      <c r="X84" s="75">
        <f>LOOKUP(N84,'weather data'!$B$7:$B$158,'weather data'!$D$7:$D$158)</f>
        <v>0.21</v>
      </c>
      <c r="Y84" s="165">
        <v>1.05</v>
      </c>
      <c r="Z84" s="165">
        <f t="shared" si="85"/>
        <v>0.68250000000000011</v>
      </c>
      <c r="AA84" s="165">
        <v>1.05</v>
      </c>
      <c r="AB84" s="165">
        <f t="shared" si="86"/>
        <v>0.68250000000000011</v>
      </c>
      <c r="AC84" s="165">
        <f t="shared" si="93"/>
        <v>0.95833333333333348</v>
      </c>
      <c r="AD84" s="165">
        <f t="shared" si="87"/>
        <v>0.67083333333333339</v>
      </c>
      <c r="AE84" s="165">
        <f t="shared" si="92"/>
        <v>0.91799999999999993</v>
      </c>
      <c r="AF84" s="165">
        <f t="shared" si="88"/>
        <v>0.78029999999999988</v>
      </c>
      <c r="AG84" s="155">
        <f t="shared" si="89"/>
        <v>0.70934533333333338</v>
      </c>
      <c r="AH84" s="87">
        <f t="shared" si="64"/>
        <v>1</v>
      </c>
      <c r="AI84" s="156">
        <f t="shared" si="54"/>
        <v>0.70934533333333338</v>
      </c>
      <c r="AJ84" s="82">
        <f t="shared" si="76"/>
        <v>0.14896252000000001</v>
      </c>
      <c r="AK84" s="82">
        <f t="shared" si="55"/>
        <v>0.14896252000000001</v>
      </c>
      <c r="AL84" s="82">
        <f t="shared" si="65"/>
        <v>9.8917137558703274</v>
      </c>
      <c r="AM84" s="157">
        <v>1</v>
      </c>
      <c r="AN84" s="24">
        <f t="shared" si="77"/>
        <v>4.6399999999999997</v>
      </c>
      <c r="AO84" s="51"/>
      <c r="AP84" s="51">
        <f t="shared" si="66"/>
        <v>7.3311999999999999</v>
      </c>
      <c r="AQ84" s="51">
        <f t="shared" si="90"/>
        <v>186.21248</v>
      </c>
      <c r="AR84" s="24">
        <f t="shared" si="67"/>
        <v>2.7125439999999998</v>
      </c>
      <c r="AS84" s="37">
        <f t="shared" si="68"/>
        <v>4.6186559999999997</v>
      </c>
      <c r="AT84" s="24">
        <f t="shared" si="69"/>
        <v>2.4081272256303259</v>
      </c>
      <c r="AU84" s="24">
        <f t="shared" si="78"/>
        <v>2.5570897456303259</v>
      </c>
      <c r="AV84" s="24">
        <f t="shared" si="70"/>
        <v>4.7741102543696741</v>
      </c>
      <c r="AW84" s="24">
        <f t="shared" si="71"/>
        <v>1</v>
      </c>
      <c r="AX84" s="24">
        <f t="shared" si="79"/>
        <v>0</v>
      </c>
      <c r="AY84" s="25">
        <f t="shared" si="72"/>
        <v>0</v>
      </c>
      <c r="AZ84" s="24">
        <f t="shared" si="80"/>
        <v>0</v>
      </c>
      <c r="BA84" s="48">
        <f t="shared" si="91"/>
        <v>0</v>
      </c>
      <c r="BB84" s="48">
        <f t="shared" si="73"/>
        <v>0</v>
      </c>
      <c r="BC84" s="24">
        <f t="shared" si="81"/>
        <v>0</v>
      </c>
      <c r="BD84" s="51">
        <f t="shared" si="74"/>
        <v>0</v>
      </c>
      <c r="BE84" s="86">
        <f t="shared" si="82"/>
        <v>7.334624010240006</v>
      </c>
      <c r="BF84" s="30">
        <f t="shared" si="83"/>
        <v>0</v>
      </c>
      <c r="BG84" s="30">
        <f t="shared" si="75"/>
        <v>7.334624010240006</v>
      </c>
    </row>
    <row r="85" spans="1:59" x14ac:dyDescent="0.25">
      <c r="A85" s="15">
        <v>42230</v>
      </c>
      <c r="B85">
        <v>15250</v>
      </c>
      <c r="C85" s="54">
        <f t="shared" si="52"/>
        <v>2038.7700534759358</v>
      </c>
      <c r="E85"/>
      <c r="G85" s="15"/>
      <c r="L85" s="78">
        <f t="shared" si="53"/>
        <v>2038.7700534759358</v>
      </c>
      <c r="M85" s="64"/>
      <c r="N85" s="58">
        <v>42230</v>
      </c>
      <c r="O85" s="34">
        <f t="shared" si="57"/>
        <v>2038.7700534759358</v>
      </c>
      <c r="P85" s="80">
        <f t="shared" si="58"/>
        <v>0.22416177826583253</v>
      </c>
      <c r="Q85" s="80">
        <f t="shared" si="84"/>
        <v>5.6937091679521457</v>
      </c>
      <c r="R85" s="79">
        <f t="shared" si="59"/>
        <v>49684.491978609622</v>
      </c>
      <c r="S85" s="81">
        <f t="shared" si="60"/>
        <v>1.1405989894079345</v>
      </c>
      <c r="T85" s="80">
        <f t="shared" si="61"/>
        <v>5.4627857885058368</v>
      </c>
      <c r="U85" s="83">
        <f>LOOKUP(N85,'weather data'!$B$7:$B$158,'weather data'!$C$7:$C$158)</f>
        <v>0</v>
      </c>
      <c r="V85" s="83">
        <f t="shared" si="62"/>
        <v>0</v>
      </c>
      <c r="W85" s="83">
        <f t="shared" si="63"/>
        <v>2.0960000000000005</v>
      </c>
      <c r="X85" s="75">
        <f>LOOKUP(N85,'weather data'!$B$7:$B$158,'weather data'!$D$7:$D$158)</f>
        <v>0.21</v>
      </c>
      <c r="Y85" s="165">
        <v>1.05</v>
      </c>
      <c r="Z85" s="165">
        <f t="shared" si="85"/>
        <v>0.68250000000000011</v>
      </c>
      <c r="AA85" s="165">
        <v>1.05</v>
      </c>
      <c r="AB85" s="165">
        <f t="shared" si="86"/>
        <v>0.68250000000000011</v>
      </c>
      <c r="AC85" s="165">
        <f t="shared" si="93"/>
        <v>0.94444444444444464</v>
      </c>
      <c r="AD85" s="165">
        <f t="shared" si="87"/>
        <v>0.6611111111111112</v>
      </c>
      <c r="AE85" s="165">
        <f t="shared" si="92"/>
        <v>0.90999999999999992</v>
      </c>
      <c r="AF85" s="165">
        <f t="shared" si="88"/>
        <v>0.77349999999999997</v>
      </c>
      <c r="AG85" s="155">
        <f t="shared" si="89"/>
        <v>0.70610944444444446</v>
      </c>
      <c r="AH85" s="87">
        <f t="shared" si="64"/>
        <v>1</v>
      </c>
      <c r="AI85" s="156">
        <f t="shared" si="54"/>
        <v>0.70610944444444446</v>
      </c>
      <c r="AJ85" s="82">
        <f t="shared" si="76"/>
        <v>0.14828298333333334</v>
      </c>
      <c r="AK85" s="82">
        <f t="shared" si="55"/>
        <v>0.14828298333333334</v>
      </c>
      <c r="AL85" s="82">
        <f t="shared" si="65"/>
        <v>10.03999673920366</v>
      </c>
      <c r="AM85" s="157">
        <v>1</v>
      </c>
      <c r="AN85" s="24">
        <f t="shared" si="77"/>
        <v>4.6399999999999997</v>
      </c>
      <c r="AO85" s="51"/>
      <c r="AP85" s="51">
        <f t="shared" si="66"/>
        <v>7.3311999999999999</v>
      </c>
      <c r="AQ85" s="51">
        <f t="shared" si="90"/>
        <v>186.21248</v>
      </c>
      <c r="AR85" s="24">
        <f t="shared" si="67"/>
        <v>2.7125439999999998</v>
      </c>
      <c r="AS85" s="37">
        <f t="shared" si="68"/>
        <v>4.6186559999999997</v>
      </c>
      <c r="AT85" s="24">
        <f t="shared" si="69"/>
        <v>2.5570897456303259</v>
      </c>
      <c r="AU85" s="24">
        <f t="shared" si="78"/>
        <v>2.4812109506978266</v>
      </c>
      <c r="AV85" s="24">
        <f t="shared" si="70"/>
        <v>4.8499890493021738</v>
      </c>
      <c r="AW85" s="24">
        <f t="shared" si="71"/>
        <v>1</v>
      </c>
      <c r="AX85" s="24">
        <f t="shared" si="79"/>
        <v>0</v>
      </c>
      <c r="AY85" s="25">
        <f t="shared" si="72"/>
        <v>0</v>
      </c>
      <c r="AZ85" s="24">
        <f t="shared" si="80"/>
        <v>0</v>
      </c>
      <c r="BA85" s="48">
        <f t="shared" si="91"/>
        <v>0</v>
      </c>
      <c r="BB85" s="48">
        <f t="shared" si="73"/>
        <v>0</v>
      </c>
      <c r="BC85" s="24">
        <f t="shared" si="81"/>
        <v>0</v>
      </c>
      <c r="BD85" s="51">
        <f t="shared" si="74"/>
        <v>0</v>
      </c>
      <c r="BE85" s="86">
        <f t="shared" si="82"/>
        <v>7.5587857885058387</v>
      </c>
      <c r="BF85" s="30">
        <f t="shared" si="83"/>
        <v>0.22416177826583253</v>
      </c>
      <c r="BG85" s="30">
        <f t="shared" si="75"/>
        <v>7.5587857885058387</v>
      </c>
    </row>
    <row r="86" spans="1:59" x14ac:dyDescent="0.25">
      <c r="A86" s="15">
        <v>42231</v>
      </c>
      <c r="B86">
        <v>14780</v>
      </c>
      <c r="C86" s="54">
        <f t="shared" si="52"/>
        <v>1975.9358288770052</v>
      </c>
      <c r="E86"/>
      <c r="G86" s="15"/>
      <c r="L86" s="78">
        <f t="shared" si="53"/>
        <v>1975.9358288770052</v>
      </c>
      <c r="M86" s="64"/>
      <c r="N86" s="58">
        <v>42231</v>
      </c>
      <c r="O86" s="34">
        <f t="shared" si="57"/>
        <v>1975.9358288770052</v>
      </c>
      <c r="P86" s="80">
        <f t="shared" si="58"/>
        <v>0.21725318575534458</v>
      </c>
      <c r="Q86" s="80">
        <f t="shared" si="84"/>
        <v>5.5182309181857523</v>
      </c>
      <c r="R86" s="79">
        <f t="shared" si="59"/>
        <v>51660.427807486623</v>
      </c>
      <c r="S86" s="81">
        <f t="shared" si="60"/>
        <v>1.1859602343316489</v>
      </c>
      <c r="T86" s="80">
        <f t="shared" si="61"/>
        <v>5.6800389742611808</v>
      </c>
      <c r="U86" s="83">
        <f>LOOKUP(N86,'weather data'!$B$7:$B$158,'weather data'!$C$7:$C$158)</f>
        <v>0</v>
      </c>
      <c r="V86" s="83">
        <f t="shared" si="62"/>
        <v>0</v>
      </c>
      <c r="W86" s="83">
        <f t="shared" si="63"/>
        <v>2.0960000000000005</v>
      </c>
      <c r="X86" s="75">
        <f>LOOKUP(N86,'weather data'!$B$7:$B$158,'weather data'!$D$7:$D$158)</f>
        <v>0.2</v>
      </c>
      <c r="Y86" s="165">
        <v>1.05</v>
      </c>
      <c r="Z86" s="165">
        <f t="shared" si="85"/>
        <v>0.68250000000000011</v>
      </c>
      <c r="AA86" s="165">
        <v>1.05</v>
      </c>
      <c r="AB86" s="165">
        <f t="shared" si="86"/>
        <v>0.68250000000000011</v>
      </c>
      <c r="AC86" s="165">
        <f t="shared" si="93"/>
        <v>0.9305555555555558</v>
      </c>
      <c r="AD86" s="165">
        <f t="shared" si="87"/>
        <v>0.65138888888888902</v>
      </c>
      <c r="AE86" s="165">
        <f t="shared" si="92"/>
        <v>0.90199999999999991</v>
      </c>
      <c r="AF86" s="165">
        <f t="shared" si="88"/>
        <v>0.76669999999999994</v>
      </c>
      <c r="AG86" s="155">
        <f t="shared" si="89"/>
        <v>0.70287355555555564</v>
      </c>
      <c r="AH86" s="87">
        <f t="shared" si="64"/>
        <v>1</v>
      </c>
      <c r="AI86" s="156">
        <f t="shared" si="54"/>
        <v>0.70287355555555564</v>
      </c>
      <c r="AJ86" s="82">
        <f t="shared" si="76"/>
        <v>0.14057471111111114</v>
      </c>
      <c r="AK86" s="82">
        <f t="shared" si="55"/>
        <v>0.14057471111111114</v>
      </c>
      <c r="AL86" s="82">
        <f t="shared" si="65"/>
        <v>10.180571450314771</v>
      </c>
      <c r="AM86" s="157">
        <v>1</v>
      </c>
      <c r="AN86" s="24">
        <f t="shared" si="77"/>
        <v>4.6399999999999997</v>
      </c>
      <c r="AO86" s="51"/>
      <c r="AP86" s="51">
        <f t="shared" si="66"/>
        <v>7.3311999999999999</v>
      </c>
      <c r="AQ86" s="51">
        <f t="shared" si="90"/>
        <v>186.21248</v>
      </c>
      <c r="AR86" s="24">
        <f t="shared" si="67"/>
        <v>2.7125439999999998</v>
      </c>
      <c r="AS86" s="37">
        <f t="shared" si="68"/>
        <v>4.6186559999999997</v>
      </c>
      <c r="AT86" s="24">
        <f t="shared" si="69"/>
        <v>2.4812109506978266</v>
      </c>
      <c r="AU86" s="24">
        <f t="shared" si="78"/>
        <v>2.4045324760535935</v>
      </c>
      <c r="AV86" s="24">
        <f t="shared" si="70"/>
        <v>4.9266675239464064</v>
      </c>
      <c r="AW86" s="24">
        <f t="shared" si="71"/>
        <v>1</v>
      </c>
      <c r="AX86" s="24">
        <f t="shared" si="79"/>
        <v>0</v>
      </c>
      <c r="AY86" s="25">
        <f t="shared" si="72"/>
        <v>0</v>
      </c>
      <c r="AZ86" s="24">
        <f t="shared" si="80"/>
        <v>0</v>
      </c>
      <c r="BA86" s="48">
        <f t="shared" si="91"/>
        <v>0</v>
      </c>
      <c r="BB86" s="48">
        <f t="shared" si="73"/>
        <v>0</v>
      </c>
      <c r="BC86" s="24">
        <f t="shared" si="81"/>
        <v>0</v>
      </c>
      <c r="BD86" s="51">
        <f t="shared" si="74"/>
        <v>0</v>
      </c>
      <c r="BE86" s="86">
        <f t="shared" si="82"/>
        <v>7.7760389742611835</v>
      </c>
      <c r="BF86" s="30">
        <f t="shared" si="83"/>
        <v>0.21725318575534458</v>
      </c>
      <c r="BG86" s="30">
        <f t="shared" si="75"/>
        <v>7.7760389742611835</v>
      </c>
    </row>
    <row r="87" spans="1:59" x14ac:dyDescent="0.25">
      <c r="A87" s="15">
        <v>42232</v>
      </c>
      <c r="B87">
        <v>0</v>
      </c>
      <c r="C87" s="54">
        <f t="shared" si="52"/>
        <v>0</v>
      </c>
      <c r="E87"/>
      <c r="G87" s="15"/>
      <c r="L87" s="78">
        <f t="shared" si="53"/>
        <v>0</v>
      </c>
      <c r="M87" s="64"/>
      <c r="N87" s="58">
        <v>42232</v>
      </c>
      <c r="O87" s="34">
        <f t="shared" si="57"/>
        <v>0</v>
      </c>
      <c r="P87" s="80">
        <f t="shared" si="58"/>
        <v>0</v>
      </c>
      <c r="Q87" s="80">
        <f t="shared" si="84"/>
        <v>0</v>
      </c>
      <c r="R87" s="79">
        <f t="shared" si="59"/>
        <v>51660.427807486623</v>
      </c>
      <c r="S87" s="81">
        <f t="shared" si="60"/>
        <v>1.1859602343316489</v>
      </c>
      <c r="T87" s="80">
        <f t="shared" si="61"/>
        <v>5.6800389742611808</v>
      </c>
      <c r="U87" s="83">
        <f>LOOKUP(N87,'weather data'!$B$7:$B$158,'weather data'!$C$7:$C$158)</f>
        <v>0</v>
      </c>
      <c r="V87" s="83">
        <f t="shared" si="62"/>
        <v>0</v>
      </c>
      <c r="W87" s="83">
        <f t="shared" si="63"/>
        <v>2.0960000000000005</v>
      </c>
      <c r="X87" s="75">
        <f>LOOKUP(N87,'weather data'!$B$7:$B$158,'weather data'!$D$7:$D$158)</f>
        <v>0.18</v>
      </c>
      <c r="Y87" s="165">
        <v>1.05</v>
      </c>
      <c r="Z87" s="165">
        <f t="shared" si="85"/>
        <v>0.68250000000000011</v>
      </c>
      <c r="AA87" s="165">
        <v>1.05</v>
      </c>
      <c r="AB87" s="165">
        <f t="shared" si="86"/>
        <v>0.68250000000000011</v>
      </c>
      <c r="AC87" s="165">
        <f t="shared" si="93"/>
        <v>0.91666666666666696</v>
      </c>
      <c r="AD87" s="165">
        <f t="shared" si="87"/>
        <v>0.64166666666666683</v>
      </c>
      <c r="AE87" s="165">
        <f t="shared" si="92"/>
        <v>0.89399999999999991</v>
      </c>
      <c r="AF87" s="165">
        <f t="shared" si="88"/>
        <v>0.75989999999999991</v>
      </c>
      <c r="AG87" s="155">
        <f t="shared" si="89"/>
        <v>0.69963766666666671</v>
      </c>
      <c r="AH87" s="87">
        <f t="shared" si="64"/>
        <v>1</v>
      </c>
      <c r="AI87" s="156">
        <f t="shared" si="54"/>
        <v>0.69963766666666671</v>
      </c>
      <c r="AJ87" s="82">
        <f t="shared" si="76"/>
        <v>0.12593478</v>
      </c>
      <c r="AK87" s="82">
        <f t="shared" si="55"/>
        <v>0.12593478</v>
      </c>
      <c r="AL87" s="82">
        <f t="shared" si="65"/>
        <v>10.306506230314771</v>
      </c>
      <c r="AM87" s="157">
        <v>1</v>
      </c>
      <c r="AN87" s="24">
        <f t="shared" si="77"/>
        <v>4.6399999999999997</v>
      </c>
      <c r="AO87" s="51"/>
      <c r="AP87" s="51">
        <f t="shared" si="66"/>
        <v>7.3311999999999999</v>
      </c>
      <c r="AQ87" s="51">
        <f t="shared" si="90"/>
        <v>186.21248</v>
      </c>
      <c r="AR87" s="24">
        <f t="shared" si="67"/>
        <v>2.7125439999999998</v>
      </c>
      <c r="AS87" s="37">
        <f t="shared" si="68"/>
        <v>4.6186559999999997</v>
      </c>
      <c r="AT87" s="24">
        <f t="shared" si="69"/>
        <v>2.4045324760535935</v>
      </c>
      <c r="AU87" s="24">
        <f t="shared" si="78"/>
        <v>2.5304672560535937</v>
      </c>
      <c r="AV87" s="24">
        <f t="shared" si="70"/>
        <v>4.8007327439464067</v>
      </c>
      <c r="AW87" s="24">
        <f t="shared" si="71"/>
        <v>1</v>
      </c>
      <c r="AX87" s="24">
        <f t="shared" si="79"/>
        <v>0</v>
      </c>
      <c r="AY87" s="25">
        <f t="shared" si="72"/>
        <v>0</v>
      </c>
      <c r="AZ87" s="24">
        <f t="shared" si="80"/>
        <v>0</v>
      </c>
      <c r="BA87" s="48">
        <f t="shared" si="91"/>
        <v>0</v>
      </c>
      <c r="BB87" s="48">
        <f t="shared" si="73"/>
        <v>0</v>
      </c>
      <c r="BC87" s="24">
        <f t="shared" si="81"/>
        <v>0</v>
      </c>
      <c r="BD87" s="51">
        <f t="shared" si="74"/>
        <v>0</v>
      </c>
      <c r="BE87" s="86">
        <f t="shared" si="82"/>
        <v>7.7760389742611835</v>
      </c>
      <c r="BF87" s="30">
        <f t="shared" si="83"/>
        <v>0</v>
      </c>
      <c r="BG87" s="30">
        <f t="shared" si="75"/>
        <v>7.7760389742611835</v>
      </c>
    </row>
    <row r="88" spans="1:59" x14ac:dyDescent="0.25">
      <c r="A88" s="15">
        <v>42233</v>
      </c>
      <c r="B88">
        <v>16830</v>
      </c>
      <c r="C88" s="54">
        <f t="shared" si="52"/>
        <v>2250</v>
      </c>
      <c r="E88"/>
      <c r="G88" s="15"/>
      <c r="L88" s="78">
        <f t="shared" si="53"/>
        <v>2250</v>
      </c>
      <c r="M88" s="64"/>
      <c r="N88" s="58">
        <v>42233</v>
      </c>
      <c r="O88" s="34">
        <f t="shared" si="57"/>
        <v>2250</v>
      </c>
      <c r="P88" s="80">
        <f t="shared" si="58"/>
        <v>0.24738640840747289</v>
      </c>
      <c r="Q88" s="80">
        <f t="shared" si="84"/>
        <v>6.2836147735498109</v>
      </c>
      <c r="R88" s="79">
        <f t="shared" si="59"/>
        <v>53910.427807486623</v>
      </c>
      <c r="S88" s="81">
        <f t="shared" si="60"/>
        <v>1.2376131268936323</v>
      </c>
      <c r="T88" s="80">
        <f t="shared" si="61"/>
        <v>5.9274253826686536</v>
      </c>
      <c r="U88" s="83">
        <f>LOOKUP(N88,'weather data'!$B$7:$B$158,'weather data'!$C$7:$C$158)</f>
        <v>0</v>
      </c>
      <c r="V88" s="83">
        <f t="shared" si="62"/>
        <v>0</v>
      </c>
      <c r="W88" s="83">
        <f t="shared" si="63"/>
        <v>2.0960000000000005</v>
      </c>
      <c r="X88" s="75">
        <f>LOOKUP(N88,'weather data'!$B$7:$B$158,'weather data'!$D$7:$D$158)</f>
        <v>0.22</v>
      </c>
      <c r="Y88" s="165">
        <v>1.05</v>
      </c>
      <c r="Z88" s="165">
        <f t="shared" si="85"/>
        <v>0.68250000000000011</v>
      </c>
      <c r="AA88" s="165">
        <v>1.05</v>
      </c>
      <c r="AB88" s="165">
        <f t="shared" si="86"/>
        <v>0.68250000000000011</v>
      </c>
      <c r="AC88" s="165">
        <f t="shared" si="93"/>
        <v>0.90277777777777812</v>
      </c>
      <c r="AD88" s="165">
        <f t="shared" si="87"/>
        <v>0.63194444444444464</v>
      </c>
      <c r="AE88" s="165">
        <f t="shared" si="92"/>
        <v>0.8859999999999999</v>
      </c>
      <c r="AF88" s="165">
        <f t="shared" si="88"/>
        <v>0.75309999999999988</v>
      </c>
      <c r="AG88" s="155">
        <f t="shared" si="89"/>
        <v>0.69640177777777779</v>
      </c>
      <c r="AH88" s="87">
        <f t="shared" si="64"/>
        <v>1</v>
      </c>
      <c r="AI88" s="156">
        <f t="shared" si="54"/>
        <v>0.69640177777777779</v>
      </c>
      <c r="AJ88" s="82">
        <f t="shared" si="76"/>
        <v>0.15320839111111112</v>
      </c>
      <c r="AK88" s="82">
        <f t="shared" si="55"/>
        <v>0.15320839111111112</v>
      </c>
      <c r="AL88" s="82">
        <f t="shared" si="65"/>
        <v>10.459714621425881</v>
      </c>
      <c r="AM88" s="157">
        <v>1</v>
      </c>
      <c r="AN88" s="24">
        <f t="shared" si="77"/>
        <v>4.6399999999999997</v>
      </c>
      <c r="AO88" s="51"/>
      <c r="AP88" s="51">
        <f t="shared" si="66"/>
        <v>7.3311999999999999</v>
      </c>
      <c r="AQ88" s="51">
        <f t="shared" si="90"/>
        <v>186.21248</v>
      </c>
      <c r="AR88" s="24">
        <f t="shared" si="67"/>
        <v>2.7125439999999998</v>
      </c>
      <c r="AS88" s="37">
        <f t="shared" si="68"/>
        <v>4.6186559999999997</v>
      </c>
      <c r="AT88" s="24">
        <f t="shared" si="69"/>
        <v>2.5304672560535937</v>
      </c>
      <c r="AU88" s="24">
        <f t="shared" si="78"/>
        <v>2.4362892387572321</v>
      </c>
      <c r="AV88" s="24">
        <f t="shared" si="70"/>
        <v>4.8949107612427678</v>
      </c>
      <c r="AW88" s="24">
        <f t="shared" si="71"/>
        <v>1</v>
      </c>
      <c r="AX88" s="24">
        <f t="shared" si="79"/>
        <v>0</v>
      </c>
      <c r="AY88" s="25">
        <f t="shared" si="72"/>
        <v>0</v>
      </c>
      <c r="AZ88" s="24">
        <f t="shared" si="80"/>
        <v>0</v>
      </c>
      <c r="BA88" s="48">
        <f t="shared" si="91"/>
        <v>0</v>
      </c>
      <c r="BB88" s="48">
        <f t="shared" si="73"/>
        <v>0</v>
      </c>
      <c r="BC88" s="24">
        <f t="shared" si="81"/>
        <v>0</v>
      </c>
      <c r="BD88" s="51">
        <f t="shared" si="74"/>
        <v>0</v>
      </c>
      <c r="BE88" s="86">
        <f t="shared" si="82"/>
        <v>8.0234253826686572</v>
      </c>
      <c r="BF88" s="30">
        <f t="shared" si="83"/>
        <v>0.24738640840747289</v>
      </c>
      <c r="BG88" s="30">
        <f t="shared" si="75"/>
        <v>8.0234253826686572</v>
      </c>
    </row>
    <row r="89" spans="1:59" x14ac:dyDescent="0.25">
      <c r="A89" s="15">
        <v>42234</v>
      </c>
      <c r="B89">
        <v>13500</v>
      </c>
      <c r="C89" s="54">
        <f t="shared" si="52"/>
        <v>1804.8128342245989</v>
      </c>
      <c r="E89"/>
      <c r="G89" s="15"/>
      <c r="L89" s="78">
        <f t="shared" si="53"/>
        <v>1804.8128342245989</v>
      </c>
      <c r="M89" s="64"/>
      <c r="N89" s="58">
        <v>42234</v>
      </c>
      <c r="O89" s="34">
        <f t="shared" si="57"/>
        <v>1804.8128342245989</v>
      </c>
      <c r="P89" s="80">
        <f t="shared" si="58"/>
        <v>0.19843829551401571</v>
      </c>
      <c r="Q89" s="80">
        <f t="shared" si="84"/>
        <v>5.0403327060559988</v>
      </c>
      <c r="R89" s="79">
        <f t="shared" si="59"/>
        <v>55715.240641711222</v>
      </c>
      <c r="S89" s="81">
        <f t="shared" si="60"/>
        <v>1.2790459284139399</v>
      </c>
      <c r="T89" s="80">
        <f t="shared" si="61"/>
        <v>6.125863678182669</v>
      </c>
      <c r="U89" s="83">
        <f>LOOKUP(N89,'weather data'!$B$7:$B$158,'weather data'!$C$7:$C$158)</f>
        <v>0</v>
      </c>
      <c r="V89" s="83">
        <f t="shared" si="62"/>
        <v>0</v>
      </c>
      <c r="W89" s="83">
        <f t="shared" si="63"/>
        <v>2.0960000000000005</v>
      </c>
      <c r="X89" s="75">
        <f>LOOKUP(N89,'weather data'!$B$7:$B$158,'weather data'!$D$7:$D$158)</f>
        <v>0.2</v>
      </c>
      <c r="Y89" s="165">
        <f>Y88+(0.5-1.05)/17</f>
        <v>1.0176470588235293</v>
      </c>
      <c r="Z89" s="165">
        <f t="shared" si="85"/>
        <v>0.66147058823529414</v>
      </c>
      <c r="AA89" s="165">
        <v>1.05</v>
      </c>
      <c r="AB89" s="165">
        <f t="shared" si="86"/>
        <v>0.68250000000000011</v>
      </c>
      <c r="AC89" s="165">
        <f t="shared" si="93"/>
        <v>0.88888888888888928</v>
      </c>
      <c r="AD89" s="165">
        <f t="shared" si="87"/>
        <v>0.62222222222222245</v>
      </c>
      <c r="AE89" s="165">
        <f t="shared" si="92"/>
        <v>0.87799999999999989</v>
      </c>
      <c r="AF89" s="165">
        <f t="shared" si="88"/>
        <v>0.74629999999999985</v>
      </c>
      <c r="AG89" s="155">
        <f t="shared" si="89"/>
        <v>0.68454383006535946</v>
      </c>
      <c r="AH89" s="87">
        <f t="shared" si="64"/>
        <v>1</v>
      </c>
      <c r="AI89" s="156">
        <f t="shared" si="54"/>
        <v>0.68454383006535946</v>
      </c>
      <c r="AJ89" s="82">
        <f t="shared" si="76"/>
        <v>0.13690876601307189</v>
      </c>
      <c r="AK89" s="82">
        <f t="shared" si="55"/>
        <v>0.13690876601307189</v>
      </c>
      <c r="AL89" s="82">
        <f t="shared" si="65"/>
        <v>10.596623387438953</v>
      </c>
      <c r="AM89" s="157">
        <v>1</v>
      </c>
      <c r="AN89" s="24">
        <f t="shared" si="77"/>
        <v>4.6399999999999997</v>
      </c>
      <c r="AO89" s="51"/>
      <c r="AP89" s="51">
        <f t="shared" si="66"/>
        <v>7.3311999999999999</v>
      </c>
      <c r="AQ89" s="51">
        <f t="shared" si="90"/>
        <v>186.21248</v>
      </c>
      <c r="AR89" s="24">
        <f t="shared" si="67"/>
        <v>2.7125439999999998</v>
      </c>
      <c r="AS89" s="37">
        <f t="shared" si="68"/>
        <v>4.6186559999999997</v>
      </c>
      <c r="AT89" s="24">
        <f t="shared" si="69"/>
        <v>2.4362892387572321</v>
      </c>
      <c r="AU89" s="24">
        <f t="shared" si="78"/>
        <v>2.374759709256288</v>
      </c>
      <c r="AV89" s="24">
        <f t="shared" si="70"/>
        <v>4.9564402907437124</v>
      </c>
      <c r="AW89" s="24">
        <f t="shared" si="71"/>
        <v>1</v>
      </c>
      <c r="AX89" s="24">
        <f t="shared" si="79"/>
        <v>0</v>
      </c>
      <c r="AY89" s="25">
        <f t="shared" si="72"/>
        <v>0</v>
      </c>
      <c r="AZ89" s="24">
        <f t="shared" si="80"/>
        <v>0</v>
      </c>
      <c r="BA89" s="48">
        <f t="shared" si="91"/>
        <v>0</v>
      </c>
      <c r="BB89" s="48">
        <f t="shared" si="73"/>
        <v>0</v>
      </c>
      <c r="BC89" s="24">
        <f t="shared" si="81"/>
        <v>0</v>
      </c>
      <c r="BD89" s="51">
        <f t="shared" si="74"/>
        <v>0</v>
      </c>
      <c r="BE89" s="86">
        <f t="shared" si="82"/>
        <v>8.2218636781826735</v>
      </c>
      <c r="BF89" s="30">
        <f t="shared" si="83"/>
        <v>0.19843829551401571</v>
      </c>
      <c r="BG89" s="30">
        <f t="shared" si="75"/>
        <v>8.2218636781826735</v>
      </c>
    </row>
    <row r="90" spans="1:59" x14ac:dyDescent="0.25">
      <c r="A90" s="15">
        <v>42235</v>
      </c>
      <c r="B90">
        <v>0</v>
      </c>
      <c r="C90" s="54">
        <f t="shared" si="52"/>
        <v>0</v>
      </c>
      <c r="E90"/>
      <c r="G90" s="15"/>
      <c r="L90" s="78">
        <f t="shared" si="53"/>
        <v>0</v>
      </c>
      <c r="M90" s="64"/>
      <c r="N90" s="58">
        <v>42235</v>
      </c>
      <c r="O90" s="34">
        <f t="shared" si="57"/>
        <v>0</v>
      </c>
      <c r="P90" s="80">
        <f t="shared" si="58"/>
        <v>0</v>
      </c>
      <c r="Q90" s="80">
        <f t="shared" si="84"/>
        <v>0</v>
      </c>
      <c r="R90" s="79">
        <f t="shared" si="59"/>
        <v>55715.240641711222</v>
      </c>
      <c r="S90" s="81">
        <f t="shared" si="60"/>
        <v>1.2790459284139399</v>
      </c>
      <c r="T90" s="80">
        <f t="shared" si="61"/>
        <v>6.125863678182669</v>
      </c>
      <c r="U90" s="83">
        <f>LOOKUP(N90,'weather data'!$B$7:$B$158,'weather data'!$C$7:$C$158)</f>
        <v>0</v>
      </c>
      <c r="V90" s="83">
        <f t="shared" si="62"/>
        <v>0</v>
      </c>
      <c r="W90" s="83">
        <f t="shared" si="63"/>
        <v>2.0960000000000005</v>
      </c>
      <c r="X90" s="75">
        <f>LOOKUP(N90,'weather data'!$B$7:$B$158,'weather data'!$D$7:$D$158)</f>
        <v>0.18</v>
      </c>
      <c r="Y90" s="165">
        <f t="shared" ref="Y90:Y113" si="94">Y89+(0.5-1.05)/17</f>
        <v>0.98529411764705876</v>
      </c>
      <c r="Z90" s="165">
        <f t="shared" si="85"/>
        <v>0.64044117647058818</v>
      </c>
      <c r="AA90" s="165">
        <v>1.05</v>
      </c>
      <c r="AB90" s="165">
        <f t="shared" si="86"/>
        <v>0.68250000000000011</v>
      </c>
      <c r="AC90" s="165">
        <f t="shared" si="93"/>
        <v>0.87500000000000044</v>
      </c>
      <c r="AD90" s="165">
        <f t="shared" si="87"/>
        <v>0.61250000000000027</v>
      </c>
      <c r="AE90" s="165">
        <f t="shared" si="92"/>
        <v>0.86999999999999988</v>
      </c>
      <c r="AF90" s="165">
        <f t="shared" si="88"/>
        <v>0.73949999999999994</v>
      </c>
      <c r="AG90" s="155">
        <f t="shared" si="89"/>
        <v>0.67268588235294124</v>
      </c>
      <c r="AH90" s="87">
        <f t="shared" si="64"/>
        <v>1</v>
      </c>
      <c r="AI90" s="156">
        <f t="shared" si="54"/>
        <v>0.67268588235294124</v>
      </c>
      <c r="AJ90" s="82">
        <f t="shared" si="76"/>
        <v>0.12108345882352942</v>
      </c>
      <c r="AK90" s="82">
        <f t="shared" si="55"/>
        <v>0.12108345882352942</v>
      </c>
      <c r="AL90" s="82">
        <f t="shared" si="65"/>
        <v>10.717706846262482</v>
      </c>
      <c r="AM90" s="157">
        <v>1</v>
      </c>
      <c r="AN90" s="24">
        <f t="shared" si="77"/>
        <v>4.6399999999999997</v>
      </c>
      <c r="AO90" s="51"/>
      <c r="AP90" s="51">
        <f t="shared" si="66"/>
        <v>7.3311999999999999</v>
      </c>
      <c r="AQ90" s="51">
        <f t="shared" si="90"/>
        <v>186.21248</v>
      </c>
      <c r="AR90" s="24">
        <f t="shared" si="67"/>
        <v>2.7125439999999998</v>
      </c>
      <c r="AS90" s="37">
        <f t="shared" si="68"/>
        <v>4.6186559999999997</v>
      </c>
      <c r="AT90" s="24">
        <f t="shared" si="69"/>
        <v>2.374759709256288</v>
      </c>
      <c r="AU90" s="24">
        <f t="shared" si="78"/>
        <v>2.4958431680798174</v>
      </c>
      <c r="AV90" s="24">
        <f t="shared" si="70"/>
        <v>4.8353568319201825</v>
      </c>
      <c r="AW90" s="24">
        <f t="shared" si="71"/>
        <v>1</v>
      </c>
      <c r="AX90" s="24">
        <f t="shared" si="79"/>
        <v>0</v>
      </c>
      <c r="AY90" s="25">
        <f t="shared" si="72"/>
        <v>0</v>
      </c>
      <c r="AZ90" s="24">
        <f t="shared" si="80"/>
        <v>0</v>
      </c>
      <c r="BA90" s="48">
        <f t="shared" si="91"/>
        <v>0</v>
      </c>
      <c r="BB90" s="48">
        <f t="shared" si="73"/>
        <v>0</v>
      </c>
      <c r="BC90" s="24">
        <f t="shared" si="81"/>
        <v>0</v>
      </c>
      <c r="BD90" s="51">
        <f t="shared" si="74"/>
        <v>0</v>
      </c>
      <c r="BE90" s="86">
        <f t="shared" si="82"/>
        <v>8.2218636781826735</v>
      </c>
      <c r="BF90" s="30">
        <f t="shared" si="83"/>
        <v>0</v>
      </c>
      <c r="BG90" s="30">
        <f t="shared" si="75"/>
        <v>8.2218636781826735</v>
      </c>
    </row>
    <row r="91" spans="1:59" x14ac:dyDescent="0.25">
      <c r="A91" s="15">
        <v>42236</v>
      </c>
      <c r="B91">
        <v>0</v>
      </c>
      <c r="C91" s="54">
        <f t="shared" si="52"/>
        <v>0</v>
      </c>
      <c r="E91"/>
      <c r="G91" s="15"/>
      <c r="L91" s="78">
        <f t="shared" si="53"/>
        <v>0</v>
      </c>
      <c r="M91" s="64"/>
      <c r="N91" s="58">
        <v>42236</v>
      </c>
      <c r="O91" s="34">
        <f t="shared" si="57"/>
        <v>0</v>
      </c>
      <c r="P91" s="80">
        <f t="shared" si="58"/>
        <v>0</v>
      </c>
      <c r="Q91" s="80">
        <f t="shared" si="84"/>
        <v>0</v>
      </c>
      <c r="R91" s="79">
        <f t="shared" si="59"/>
        <v>55715.240641711222</v>
      </c>
      <c r="S91" s="81">
        <f t="shared" si="60"/>
        <v>1.2790459284139399</v>
      </c>
      <c r="T91" s="80">
        <f t="shared" si="61"/>
        <v>6.125863678182669</v>
      </c>
      <c r="U91" s="83">
        <f>LOOKUP(N91,'weather data'!$B$7:$B$158,'weather data'!$C$7:$C$158)</f>
        <v>0</v>
      </c>
      <c r="V91" s="83">
        <f t="shared" si="62"/>
        <v>0</v>
      </c>
      <c r="W91" s="83">
        <f t="shared" si="63"/>
        <v>2.0960000000000005</v>
      </c>
      <c r="X91" s="75">
        <f>LOOKUP(N91,'weather data'!$B$7:$B$158,'weather data'!$D$7:$D$158)</f>
        <v>0.18</v>
      </c>
      <c r="Y91" s="165">
        <f t="shared" si="94"/>
        <v>0.95294117647058818</v>
      </c>
      <c r="Z91" s="165">
        <f t="shared" si="85"/>
        <v>0.61941176470588233</v>
      </c>
      <c r="AA91" s="165">
        <f>AA90+(0.85-1.05)/20</f>
        <v>1.04</v>
      </c>
      <c r="AB91" s="165">
        <f t="shared" si="86"/>
        <v>0.67600000000000005</v>
      </c>
      <c r="AC91" s="165">
        <f t="shared" si="93"/>
        <v>0.8611111111111116</v>
      </c>
      <c r="AD91" s="165">
        <f t="shared" si="87"/>
        <v>0.60277777777777808</v>
      </c>
      <c r="AE91" s="165">
        <f t="shared" si="92"/>
        <v>0.86199999999999988</v>
      </c>
      <c r="AF91" s="165">
        <f t="shared" si="88"/>
        <v>0.73269999999999991</v>
      </c>
      <c r="AG91" s="155">
        <f t="shared" si="89"/>
        <v>0.6597229346405229</v>
      </c>
      <c r="AH91" s="87">
        <f t="shared" si="64"/>
        <v>1</v>
      </c>
      <c r="AI91" s="156">
        <f t="shared" si="54"/>
        <v>0.6597229346405229</v>
      </c>
      <c r="AJ91" s="82">
        <f t="shared" si="76"/>
        <v>0.11875012823529411</v>
      </c>
      <c r="AK91" s="82">
        <f t="shared" si="55"/>
        <v>0.11875012823529411</v>
      </c>
      <c r="AL91" s="82">
        <f t="shared" si="65"/>
        <v>10.836456974497777</v>
      </c>
      <c r="AM91" s="157">
        <v>1</v>
      </c>
      <c r="AN91" s="24">
        <f t="shared" si="77"/>
        <v>4.6399999999999997</v>
      </c>
      <c r="AO91" s="51"/>
      <c r="AP91" s="51">
        <f t="shared" si="66"/>
        <v>7.3311999999999999</v>
      </c>
      <c r="AQ91" s="51">
        <f t="shared" si="90"/>
        <v>186.21248</v>
      </c>
      <c r="AR91" s="24">
        <f t="shared" si="67"/>
        <v>2.7125439999999998</v>
      </c>
      <c r="AS91" s="37">
        <f t="shared" si="68"/>
        <v>4.6186559999999997</v>
      </c>
      <c r="AT91" s="24">
        <f t="shared" si="69"/>
        <v>2.4958431680798174</v>
      </c>
      <c r="AU91" s="24">
        <f t="shared" si="78"/>
        <v>2.6145932963151117</v>
      </c>
      <c r="AV91" s="24">
        <f t="shared" si="70"/>
        <v>4.7166067036848887</v>
      </c>
      <c r="AW91" s="24">
        <f t="shared" si="71"/>
        <v>1</v>
      </c>
      <c r="AX91" s="24">
        <f t="shared" si="79"/>
        <v>0</v>
      </c>
      <c r="AY91" s="25">
        <f t="shared" si="72"/>
        <v>0</v>
      </c>
      <c r="AZ91" s="24">
        <f t="shared" si="80"/>
        <v>0</v>
      </c>
      <c r="BA91" s="48">
        <f t="shared" si="91"/>
        <v>0</v>
      </c>
      <c r="BB91" s="48">
        <f t="shared" si="73"/>
        <v>0</v>
      </c>
      <c r="BC91" s="24">
        <f t="shared" si="81"/>
        <v>0</v>
      </c>
      <c r="BD91" s="51">
        <f t="shared" si="74"/>
        <v>0</v>
      </c>
      <c r="BE91" s="86">
        <f t="shared" si="82"/>
        <v>8.2218636781826735</v>
      </c>
      <c r="BF91" s="30">
        <f t="shared" si="83"/>
        <v>0</v>
      </c>
      <c r="BG91" s="30">
        <f t="shared" si="75"/>
        <v>8.2218636781826735</v>
      </c>
    </row>
    <row r="92" spans="1:59" x14ac:dyDescent="0.25">
      <c r="A92" s="15">
        <v>42237</v>
      </c>
      <c r="B92">
        <v>0</v>
      </c>
      <c r="C92" s="54">
        <f t="shared" si="52"/>
        <v>0</v>
      </c>
      <c r="E92"/>
      <c r="G92" s="15"/>
      <c r="L92" s="78">
        <f t="shared" si="53"/>
        <v>0</v>
      </c>
      <c r="M92" s="64"/>
      <c r="N92" s="58">
        <v>42237</v>
      </c>
      <c r="O92" s="34">
        <f t="shared" si="57"/>
        <v>0</v>
      </c>
      <c r="P92" s="80">
        <f t="shared" si="58"/>
        <v>0</v>
      </c>
      <c r="Q92" s="80">
        <f t="shared" si="84"/>
        <v>0</v>
      </c>
      <c r="R92" s="79">
        <f t="shared" si="59"/>
        <v>55715.240641711222</v>
      </c>
      <c r="S92" s="81">
        <f t="shared" si="60"/>
        <v>1.2790459284139399</v>
      </c>
      <c r="T92" s="80">
        <f t="shared" si="61"/>
        <v>6.125863678182669</v>
      </c>
      <c r="U92" s="83">
        <f>LOOKUP(N92,'weather data'!$B$7:$B$158,'weather data'!$C$7:$C$158)</f>
        <v>0</v>
      </c>
      <c r="V92" s="83">
        <f t="shared" si="62"/>
        <v>0</v>
      </c>
      <c r="W92" s="83">
        <f t="shared" si="63"/>
        <v>2.0960000000000005</v>
      </c>
      <c r="X92" s="75">
        <f>LOOKUP(N92,'weather data'!$B$7:$B$158,'weather data'!$D$7:$D$158)</f>
        <v>0.2</v>
      </c>
      <c r="Y92" s="165">
        <f t="shared" si="94"/>
        <v>0.9205882352941176</v>
      </c>
      <c r="Z92" s="165">
        <f t="shared" si="85"/>
        <v>0.59838235294117648</v>
      </c>
      <c r="AA92" s="165">
        <f t="shared" ref="AA92:AA113" si="95">AA91+(0.85-1.05)/20</f>
        <v>1.03</v>
      </c>
      <c r="AB92" s="165">
        <f t="shared" si="86"/>
        <v>0.6695000000000001</v>
      </c>
      <c r="AC92" s="165">
        <f t="shared" si="93"/>
        <v>0.84722222222222276</v>
      </c>
      <c r="AD92" s="165">
        <f t="shared" si="87"/>
        <v>0.59305555555555589</v>
      </c>
      <c r="AE92" s="165">
        <f t="shared" si="92"/>
        <v>0.85399999999999987</v>
      </c>
      <c r="AF92" s="165">
        <f t="shared" si="88"/>
        <v>0.72589999999999988</v>
      </c>
      <c r="AG92" s="155">
        <f t="shared" si="89"/>
        <v>0.64675998692810466</v>
      </c>
      <c r="AH92" s="87">
        <f t="shared" si="64"/>
        <v>1</v>
      </c>
      <c r="AI92" s="156">
        <f t="shared" si="54"/>
        <v>0.64675998692810466</v>
      </c>
      <c r="AJ92" s="82">
        <f t="shared" si="76"/>
        <v>0.12935199738562095</v>
      </c>
      <c r="AK92" s="82">
        <f t="shared" si="55"/>
        <v>0.12935199738562095</v>
      </c>
      <c r="AL92" s="82">
        <f t="shared" si="65"/>
        <v>10.965808971883398</v>
      </c>
      <c r="AM92" s="157">
        <v>1</v>
      </c>
      <c r="AN92" s="24">
        <f t="shared" si="77"/>
        <v>4.6399999999999997</v>
      </c>
      <c r="AO92" s="51"/>
      <c r="AP92" s="51">
        <f t="shared" si="66"/>
        <v>7.3311999999999999</v>
      </c>
      <c r="AQ92" s="51">
        <f t="shared" si="90"/>
        <v>186.21248</v>
      </c>
      <c r="AR92" s="24">
        <f t="shared" si="67"/>
        <v>2.7125439999999998</v>
      </c>
      <c r="AS92" s="37">
        <f t="shared" si="68"/>
        <v>4.6186559999999997</v>
      </c>
      <c r="AT92" s="24">
        <f t="shared" si="69"/>
        <v>2.6145932963151117</v>
      </c>
      <c r="AU92" s="24">
        <f t="shared" si="78"/>
        <v>2.7439452937007327</v>
      </c>
      <c r="AV92" s="24">
        <f t="shared" si="70"/>
        <v>4.5872547062992677</v>
      </c>
      <c r="AW92" s="24">
        <f t="shared" si="71"/>
        <v>1</v>
      </c>
      <c r="AX92" s="24">
        <f t="shared" si="79"/>
        <v>0</v>
      </c>
      <c r="AY92" s="25">
        <f t="shared" si="72"/>
        <v>0</v>
      </c>
      <c r="AZ92" s="24">
        <f t="shared" si="80"/>
        <v>0</v>
      </c>
      <c r="BA92" s="48">
        <f t="shared" si="91"/>
        <v>0</v>
      </c>
      <c r="BB92" s="48">
        <f t="shared" si="73"/>
        <v>0</v>
      </c>
      <c r="BC92" s="24">
        <f t="shared" si="81"/>
        <v>0</v>
      </c>
      <c r="BD92" s="51">
        <f t="shared" si="74"/>
        <v>0</v>
      </c>
      <c r="BE92" s="86">
        <f t="shared" si="82"/>
        <v>8.2218636781826735</v>
      </c>
      <c r="BF92" s="30">
        <f t="shared" si="83"/>
        <v>0</v>
      </c>
      <c r="BG92" s="30">
        <f t="shared" si="75"/>
        <v>8.2218636781826735</v>
      </c>
    </row>
    <row r="93" spans="1:59" x14ac:dyDescent="0.25">
      <c r="A93" s="15">
        <v>42238</v>
      </c>
      <c r="B93">
        <v>6610</v>
      </c>
      <c r="C93" s="54">
        <f t="shared" si="52"/>
        <v>883.68983957219245</v>
      </c>
      <c r="E93"/>
      <c r="G93" s="15"/>
      <c r="L93" s="78">
        <f t="shared" si="53"/>
        <v>883.68983957219245</v>
      </c>
      <c r="M93" s="64"/>
      <c r="N93" s="58">
        <v>42238</v>
      </c>
      <c r="O93" s="34">
        <f t="shared" si="57"/>
        <v>883.68983957219245</v>
      </c>
      <c r="P93" s="80">
        <f t="shared" si="58"/>
        <v>9.7161269136862502E-2</v>
      </c>
      <c r="Q93" s="80">
        <f t="shared" si="84"/>
        <v>2.4678962360763075</v>
      </c>
      <c r="R93" s="79">
        <f t="shared" si="59"/>
        <v>56598.930481283416</v>
      </c>
      <c r="S93" s="81">
        <f t="shared" si="60"/>
        <v>1.2993326556768461</v>
      </c>
      <c r="T93" s="80">
        <f t="shared" si="61"/>
        <v>6.2230249473195318</v>
      </c>
      <c r="U93" s="83">
        <f>LOOKUP(N93,'weather data'!$B$7:$B$158,'weather data'!$C$7:$C$158)</f>
        <v>0</v>
      </c>
      <c r="V93" s="83">
        <f t="shared" si="62"/>
        <v>0</v>
      </c>
      <c r="W93" s="83">
        <f t="shared" si="63"/>
        <v>2.0960000000000005</v>
      </c>
      <c r="X93" s="75">
        <f>LOOKUP(N93,'weather data'!$B$7:$B$158,'weather data'!$D$7:$D$158)</f>
        <v>0.19</v>
      </c>
      <c r="Y93" s="165">
        <f t="shared" si="94"/>
        <v>0.88823529411764701</v>
      </c>
      <c r="Z93" s="165">
        <f t="shared" si="85"/>
        <v>0.57735294117647062</v>
      </c>
      <c r="AA93" s="165">
        <f t="shared" si="95"/>
        <v>1.02</v>
      </c>
      <c r="AB93" s="165">
        <f t="shared" si="86"/>
        <v>0.66300000000000003</v>
      </c>
      <c r="AC93" s="165">
        <f t="shared" si="93"/>
        <v>0.83333333333333393</v>
      </c>
      <c r="AD93" s="165">
        <f t="shared" si="87"/>
        <v>0.5833333333333337</v>
      </c>
      <c r="AE93" s="165">
        <f t="shared" si="92"/>
        <v>0.84599999999999986</v>
      </c>
      <c r="AF93" s="165">
        <f t="shared" si="88"/>
        <v>0.71909999999999985</v>
      </c>
      <c r="AG93" s="155">
        <f t="shared" si="89"/>
        <v>0.63379703921568631</v>
      </c>
      <c r="AH93" s="87">
        <f t="shared" si="64"/>
        <v>0.99320120535048895</v>
      </c>
      <c r="AI93" s="156">
        <f t="shared" si="54"/>
        <v>0.62948798329659073</v>
      </c>
      <c r="AJ93" s="82">
        <f t="shared" si="76"/>
        <v>0.1204214374509804</v>
      </c>
      <c r="AK93" s="82">
        <f t="shared" si="55"/>
        <v>0.11960271682635225</v>
      </c>
      <c r="AL93" s="82">
        <f t="shared" si="65"/>
        <v>11.085411688709749</v>
      </c>
      <c r="AM93" s="157">
        <v>1</v>
      </c>
      <c r="AN93" s="24">
        <f t="shared" si="77"/>
        <v>4.6399999999999997</v>
      </c>
      <c r="AO93" s="51"/>
      <c r="AP93" s="51">
        <f t="shared" si="66"/>
        <v>7.3311999999999999</v>
      </c>
      <c r="AQ93" s="51">
        <f t="shared" si="90"/>
        <v>186.21248</v>
      </c>
      <c r="AR93" s="24">
        <f t="shared" si="67"/>
        <v>2.7125439999999998</v>
      </c>
      <c r="AS93" s="37">
        <f t="shared" si="68"/>
        <v>4.6186559999999997</v>
      </c>
      <c r="AT93" s="24">
        <f t="shared" si="69"/>
        <v>2.7439452937007327</v>
      </c>
      <c r="AU93" s="24">
        <f t="shared" si="78"/>
        <v>2.7663867413902223</v>
      </c>
      <c r="AV93" s="24">
        <f t="shared" si="70"/>
        <v>4.564813258609778</v>
      </c>
      <c r="AW93" s="24">
        <f t="shared" si="71"/>
        <v>0.99320120535048895</v>
      </c>
      <c r="AX93" s="24">
        <f t="shared" si="79"/>
        <v>0</v>
      </c>
      <c r="AY93" s="25">
        <f t="shared" si="72"/>
        <v>0</v>
      </c>
      <c r="AZ93" s="24">
        <f t="shared" si="80"/>
        <v>0</v>
      </c>
      <c r="BA93" s="48">
        <f t="shared" si="91"/>
        <v>0</v>
      </c>
      <c r="BB93" s="48">
        <f t="shared" si="73"/>
        <v>0</v>
      </c>
      <c r="BC93" s="24">
        <f t="shared" si="81"/>
        <v>0</v>
      </c>
      <c r="BD93" s="51">
        <f t="shared" si="74"/>
        <v>0</v>
      </c>
      <c r="BE93" s="86">
        <f t="shared" si="82"/>
        <v>8.3190249473195355</v>
      </c>
      <c r="BF93" s="30">
        <f t="shared" si="83"/>
        <v>9.7161269136862502E-2</v>
      </c>
      <c r="BG93" s="30">
        <f t="shared" si="75"/>
        <v>8.3190249473195355</v>
      </c>
    </row>
    <row r="94" spans="1:59" x14ac:dyDescent="0.25">
      <c r="A94" s="15">
        <v>42239</v>
      </c>
      <c r="B94">
        <v>0</v>
      </c>
      <c r="C94" s="54">
        <f t="shared" si="52"/>
        <v>0</v>
      </c>
      <c r="E94"/>
      <c r="G94" s="15"/>
      <c r="L94" s="78">
        <f t="shared" si="53"/>
        <v>0</v>
      </c>
      <c r="M94" s="64"/>
      <c r="N94" s="58">
        <v>42239</v>
      </c>
      <c r="O94" s="34">
        <f t="shared" si="57"/>
        <v>0</v>
      </c>
      <c r="P94" s="80">
        <f t="shared" si="58"/>
        <v>0</v>
      </c>
      <c r="Q94" s="80">
        <f t="shared" si="84"/>
        <v>0</v>
      </c>
      <c r="R94" s="79">
        <f t="shared" si="59"/>
        <v>56598.930481283416</v>
      </c>
      <c r="S94" s="81">
        <f t="shared" si="60"/>
        <v>1.2993326556768461</v>
      </c>
      <c r="T94" s="80">
        <f t="shared" si="61"/>
        <v>6.2230249473195318</v>
      </c>
      <c r="U94" s="83">
        <f>LOOKUP(N94,'weather data'!$B$7:$B$158,'weather data'!$C$7:$C$158)</f>
        <v>0</v>
      </c>
      <c r="V94" s="83">
        <f t="shared" si="62"/>
        <v>0</v>
      </c>
      <c r="W94" s="83">
        <f t="shared" si="63"/>
        <v>2.0960000000000005</v>
      </c>
      <c r="X94" s="75">
        <f>LOOKUP(N94,'weather data'!$B$7:$B$158,'weather data'!$D$7:$D$158)</f>
        <v>0.17</v>
      </c>
      <c r="Y94" s="165">
        <f t="shared" si="94"/>
        <v>0.85588235294117643</v>
      </c>
      <c r="Z94" s="165">
        <f t="shared" si="85"/>
        <v>0.55632352941176466</v>
      </c>
      <c r="AA94" s="165">
        <f t="shared" si="95"/>
        <v>1.01</v>
      </c>
      <c r="AB94" s="165">
        <f t="shared" si="86"/>
        <v>0.65650000000000008</v>
      </c>
      <c r="AC94" s="165">
        <f t="shared" si="93"/>
        <v>0.81944444444444509</v>
      </c>
      <c r="AD94" s="165">
        <f t="shared" si="87"/>
        <v>0.57361111111111152</v>
      </c>
      <c r="AE94" s="165">
        <f t="shared" si="92"/>
        <v>0.83799999999999986</v>
      </c>
      <c r="AF94" s="165">
        <f t="shared" si="88"/>
        <v>0.71229999999999982</v>
      </c>
      <c r="AG94" s="155">
        <f t="shared" si="89"/>
        <v>0.62083409150326796</v>
      </c>
      <c r="AH94" s="87">
        <f t="shared" si="64"/>
        <v>0.98834233565127572</v>
      </c>
      <c r="AI94" s="156">
        <f t="shared" si="54"/>
        <v>0.61359661604827764</v>
      </c>
      <c r="AJ94" s="82">
        <f t="shared" si="76"/>
        <v>0.10554179555555557</v>
      </c>
      <c r="AK94" s="82">
        <f t="shared" si="55"/>
        <v>0.10431142472820722</v>
      </c>
      <c r="AL94" s="82">
        <f t="shared" si="65"/>
        <v>11.189723113437957</v>
      </c>
      <c r="AM94" s="157">
        <v>1</v>
      </c>
      <c r="AN94" s="24">
        <f t="shared" si="77"/>
        <v>4.6399999999999997</v>
      </c>
      <c r="AO94" s="51"/>
      <c r="AP94" s="51">
        <f t="shared" si="66"/>
        <v>7.3311999999999999</v>
      </c>
      <c r="AQ94" s="51">
        <f t="shared" si="90"/>
        <v>186.21248</v>
      </c>
      <c r="AR94" s="24">
        <f t="shared" si="67"/>
        <v>2.7125439999999998</v>
      </c>
      <c r="AS94" s="37">
        <f t="shared" si="68"/>
        <v>4.6186559999999997</v>
      </c>
      <c r="AT94" s="24">
        <f t="shared" si="69"/>
        <v>2.7663867413902223</v>
      </c>
      <c r="AU94" s="24">
        <f t="shared" si="78"/>
        <v>2.8706981661184297</v>
      </c>
      <c r="AV94" s="24">
        <f t="shared" si="70"/>
        <v>4.4605018338815707</v>
      </c>
      <c r="AW94" s="24">
        <f t="shared" si="71"/>
        <v>0.98834233565127572</v>
      </c>
      <c r="AX94" s="24">
        <f t="shared" si="79"/>
        <v>0</v>
      </c>
      <c r="AY94" s="25">
        <f t="shared" si="72"/>
        <v>0</v>
      </c>
      <c r="AZ94" s="24">
        <f t="shared" si="80"/>
        <v>0</v>
      </c>
      <c r="BA94" s="48">
        <f t="shared" si="91"/>
        <v>0</v>
      </c>
      <c r="BB94" s="48">
        <f t="shared" si="73"/>
        <v>0</v>
      </c>
      <c r="BC94" s="24">
        <f t="shared" si="81"/>
        <v>0</v>
      </c>
      <c r="BD94" s="51">
        <f t="shared" si="74"/>
        <v>0</v>
      </c>
      <c r="BE94" s="86">
        <f t="shared" si="82"/>
        <v>8.3190249473195355</v>
      </c>
      <c r="BF94" s="30">
        <f t="shared" si="83"/>
        <v>0</v>
      </c>
      <c r="BG94" s="30">
        <f t="shared" si="75"/>
        <v>8.3190249473195355</v>
      </c>
    </row>
    <row r="95" spans="1:59" x14ac:dyDescent="0.25">
      <c r="A95" s="15">
        <v>42240</v>
      </c>
      <c r="B95">
        <v>7450</v>
      </c>
      <c r="C95" s="54">
        <f t="shared" si="52"/>
        <v>995.98930481283412</v>
      </c>
      <c r="E95"/>
      <c r="G95" s="15"/>
      <c r="L95" s="78">
        <f t="shared" ref="L95:L113" si="96">C95</f>
        <v>995.98930481283412</v>
      </c>
      <c r="M95" s="64"/>
      <c r="N95" s="58">
        <v>42240</v>
      </c>
      <c r="O95" s="34">
        <f t="shared" ref="O95:O113" si="97">L95</f>
        <v>995.98930481283412</v>
      </c>
      <c r="P95" s="80">
        <f t="shared" ref="P95:P113" si="98">(O95/$D$2)*12</f>
        <v>0.10950854085773459</v>
      </c>
      <c r="Q95" s="80">
        <f t="shared" si="84"/>
        <v>2.7815169377864586</v>
      </c>
      <c r="R95" s="79">
        <f t="shared" ref="R95:R113" si="99">O95+R94</f>
        <v>57594.919786096252</v>
      </c>
      <c r="S95" s="81">
        <f t="shared" ref="S95:S113" si="100">R95/43560</f>
        <v>1.3221974239232381</v>
      </c>
      <c r="T95" s="80">
        <f t="shared" ref="T95:T113" si="101">(S95*12)/$D$3</f>
        <v>6.3325334881772672</v>
      </c>
      <c r="U95" s="83">
        <f>LOOKUP(N95,'weather data'!$B$7:$B$158,'weather data'!$C$7:$C$158)</f>
        <v>0</v>
      </c>
      <c r="V95" s="83">
        <f t="shared" ref="V95:V113" si="102">IF(U95&lt;0.05,0,0.8*U95)</f>
        <v>0</v>
      </c>
      <c r="W95" s="83">
        <f t="shared" ref="W95:W113" si="103">V95+W94</f>
        <v>2.0960000000000005</v>
      </c>
      <c r="X95" s="75">
        <f>LOOKUP(N95,'weather data'!$B$7:$B$158,'weather data'!$D$7:$D$158)</f>
        <v>0.19</v>
      </c>
      <c r="Y95" s="165">
        <f t="shared" si="94"/>
        <v>0.82352941176470584</v>
      </c>
      <c r="Z95" s="165">
        <f t="shared" si="85"/>
        <v>0.53529411764705881</v>
      </c>
      <c r="AA95" s="165">
        <f t="shared" si="95"/>
        <v>1</v>
      </c>
      <c r="AB95" s="165">
        <f t="shared" si="86"/>
        <v>0.65</v>
      </c>
      <c r="AC95" s="165">
        <f t="shared" si="93"/>
        <v>0.80555555555555625</v>
      </c>
      <c r="AD95" s="165">
        <f t="shared" si="87"/>
        <v>0.56388888888888933</v>
      </c>
      <c r="AE95" s="165">
        <f t="shared" si="92"/>
        <v>0.82999999999999985</v>
      </c>
      <c r="AF95" s="165">
        <f t="shared" si="88"/>
        <v>0.7054999999999999</v>
      </c>
      <c r="AG95" s="155">
        <f t="shared" si="89"/>
        <v>0.60787114379084972</v>
      </c>
      <c r="AH95" s="87">
        <f t="shared" ref="AH95:AH113" si="104">IF(AT95&lt;=AR95,1,(AP95-AT95)/(AP95-AR95))</f>
        <v>0.96575753506681838</v>
      </c>
      <c r="AI95" s="156">
        <f t="shared" ref="AI95:AI113" si="105">AG95*AH95</f>
        <v>0.58705613746569851</v>
      </c>
      <c r="AJ95" s="82">
        <f t="shared" ref="AJ95:AJ113" si="106">X95*AG95</f>
        <v>0.11549551732026145</v>
      </c>
      <c r="AK95" s="82">
        <f t="shared" ref="AK95:AK113" si="107">AH95*AJ95</f>
        <v>0.11154066611848272</v>
      </c>
      <c r="AL95" s="82">
        <f t="shared" ref="AL95:AL113" si="108">AK95+AL94</f>
        <v>11.301263779556439</v>
      </c>
      <c r="AM95" s="157">
        <v>1</v>
      </c>
      <c r="AN95" s="24">
        <f t="shared" si="77"/>
        <v>4.6399999999999997</v>
      </c>
      <c r="AO95" s="51"/>
      <c r="AP95" s="51">
        <f t="shared" ref="AP95:AP113" si="109">AN95*$B$4</f>
        <v>7.3311999999999999</v>
      </c>
      <c r="AQ95" s="51">
        <f t="shared" si="90"/>
        <v>186.21248</v>
      </c>
      <c r="AR95" s="24">
        <f t="shared" ref="AR95:AR113" si="110">AP95*$B$5</f>
        <v>2.7125439999999998</v>
      </c>
      <c r="AS95" s="37">
        <f t="shared" ref="AS95:AS113" si="111">AP95-AR95</f>
        <v>4.6186559999999997</v>
      </c>
      <c r="AT95" s="24">
        <f t="shared" ref="AT95:AT113" si="112">AU94</f>
        <v>2.8706981661184297</v>
      </c>
      <c r="AU95" s="24">
        <f t="shared" ref="AU95:AU113" si="113">IF(AT95+AK95-P95-V95&lt;0,0,AT95+AK95-P95-V95)</f>
        <v>2.8727302913791779</v>
      </c>
      <c r="AV95" s="24">
        <f t="shared" ref="AV95:AV113" si="114">AP95-AU95</f>
        <v>4.4584697086208216</v>
      </c>
      <c r="AW95" s="24">
        <f t="shared" ref="AW95:AW113" si="115">IF(AJ95=0,"",AK95/AJ95)</f>
        <v>0.96575753506681838</v>
      </c>
      <c r="AX95" s="24">
        <f t="shared" ref="AX95:AX113" si="116">IF(P95+V95-AK95&gt;AT95,P95+V95-AK95-AT95,0)</f>
        <v>0</v>
      </c>
      <c r="AY95" s="25">
        <f t="shared" ref="AY95:AY113" si="117">AX95+AY94</f>
        <v>0</v>
      </c>
      <c r="AZ95" s="24">
        <f t="shared" ref="AZ95:AZ113" si="118">IF(AND(P95&lt;&gt;0,AX95&lt;&gt;0,V95&lt;&gt;0),P95*AX95/(P95+V95),IF(AND(P95&lt;&gt;0,AX95&lt;&gt;0),AX95,0))</f>
        <v>0</v>
      </c>
      <c r="BA95" s="48">
        <f t="shared" si="91"/>
        <v>0</v>
      </c>
      <c r="BB95" s="48">
        <f t="shared" ref="BB95:BB113" si="119">AZ95+BB94</f>
        <v>0</v>
      </c>
      <c r="BC95" s="24">
        <f t="shared" ref="BC95:BC113" si="120">IF(AND(P95&lt;&gt;0,AX95&lt;&gt;0,V95&lt;&gt;0),V95*AX95/(P95+V95),IF(AND(V95&lt;&gt;0,AX95&lt;&gt;0),AX95,0))</f>
        <v>0</v>
      </c>
      <c r="BD95" s="51">
        <f t="shared" ref="BD95:BD113" si="121">BC95+BD94</f>
        <v>0</v>
      </c>
      <c r="BE95" s="86">
        <f t="shared" ref="BE95:BE113" si="122">P95+V95+BE94</f>
        <v>8.4285334881772709</v>
      </c>
      <c r="BF95" s="30">
        <f t="shared" ref="BF95:BF113" si="123">P95+V95-AX95</f>
        <v>0.10950854085773459</v>
      </c>
      <c r="BG95" s="30">
        <f t="shared" ref="BG95:BG113" si="124">BF95+BG94</f>
        <v>8.4285334881772709</v>
      </c>
    </row>
    <row r="96" spans="1:59" x14ac:dyDescent="0.25">
      <c r="A96" s="15">
        <v>42241</v>
      </c>
      <c r="B96">
        <v>29590</v>
      </c>
      <c r="C96" s="54">
        <f t="shared" si="52"/>
        <v>3955.8823529411761</v>
      </c>
      <c r="E96"/>
      <c r="G96" s="15"/>
      <c r="L96" s="78">
        <f t="shared" si="96"/>
        <v>3955.8823529411761</v>
      </c>
      <c r="M96" s="64"/>
      <c r="N96" s="58">
        <v>42241</v>
      </c>
      <c r="O96" s="34">
        <f t="shared" si="97"/>
        <v>3955.8823529411761</v>
      </c>
      <c r="P96" s="80">
        <f t="shared" si="98"/>
        <v>0.43494734550072023</v>
      </c>
      <c r="Q96" s="80">
        <f t="shared" si="84"/>
        <v>11.047662575718293</v>
      </c>
      <c r="R96" s="79">
        <f t="shared" si="99"/>
        <v>61550.802139037427</v>
      </c>
      <c r="S96" s="81">
        <f t="shared" si="100"/>
        <v>1.4130119866629345</v>
      </c>
      <c r="T96" s="80">
        <f t="shared" si="101"/>
        <v>6.767480833677987</v>
      </c>
      <c r="U96" s="83">
        <f>LOOKUP(N96,'weather data'!$B$7:$B$158,'weather data'!$C$7:$C$158)</f>
        <v>0</v>
      </c>
      <c r="V96" s="83">
        <f t="shared" si="102"/>
        <v>0</v>
      </c>
      <c r="W96" s="83">
        <f t="shared" si="103"/>
        <v>2.0960000000000005</v>
      </c>
      <c r="X96" s="75">
        <f>LOOKUP(N96,'weather data'!$B$7:$B$158,'weather data'!$D$7:$D$158)</f>
        <v>0.2</v>
      </c>
      <c r="Y96" s="165">
        <f t="shared" si="94"/>
        <v>0.79117647058823526</v>
      </c>
      <c r="Z96" s="165">
        <f t="shared" si="85"/>
        <v>0.51426470588235296</v>
      </c>
      <c r="AA96" s="165">
        <f t="shared" si="95"/>
        <v>0.99</v>
      </c>
      <c r="AB96" s="165">
        <f t="shared" si="86"/>
        <v>0.64349999999999996</v>
      </c>
      <c r="AC96" s="165">
        <f t="shared" si="93"/>
        <v>0.79166666666666741</v>
      </c>
      <c r="AD96" s="165">
        <f t="shared" si="87"/>
        <v>0.55416666666666714</v>
      </c>
      <c r="AE96" s="165">
        <f t="shared" si="92"/>
        <v>0.82199999999999984</v>
      </c>
      <c r="AF96" s="165">
        <f t="shared" si="88"/>
        <v>0.69869999999999988</v>
      </c>
      <c r="AG96" s="155">
        <f t="shared" si="89"/>
        <v>0.59490819607843137</v>
      </c>
      <c r="AH96" s="87">
        <f t="shared" si="104"/>
        <v>0.96531755311952694</v>
      </c>
      <c r="AI96" s="156">
        <f t="shared" si="105"/>
        <v>0.57427532416918314</v>
      </c>
      <c r="AJ96" s="82">
        <f t="shared" si="106"/>
        <v>0.11898163921568627</v>
      </c>
      <c r="AK96" s="82">
        <f t="shared" si="107"/>
        <v>0.11485506483383663</v>
      </c>
      <c r="AL96" s="82">
        <f t="shared" si="108"/>
        <v>11.416118844390276</v>
      </c>
      <c r="AM96" s="157">
        <v>1</v>
      </c>
      <c r="AN96" s="24">
        <f t="shared" si="77"/>
        <v>4.6399999999999997</v>
      </c>
      <c r="AO96" s="51"/>
      <c r="AP96" s="51">
        <f t="shared" si="109"/>
        <v>7.3311999999999999</v>
      </c>
      <c r="AQ96" s="51">
        <f t="shared" si="90"/>
        <v>186.21248</v>
      </c>
      <c r="AR96" s="24">
        <f t="shared" si="110"/>
        <v>2.7125439999999998</v>
      </c>
      <c r="AS96" s="37">
        <f t="shared" si="111"/>
        <v>4.6186559999999997</v>
      </c>
      <c r="AT96" s="24">
        <f t="shared" si="112"/>
        <v>2.8727302913791779</v>
      </c>
      <c r="AU96" s="24">
        <f t="shared" si="113"/>
        <v>2.5526380107122941</v>
      </c>
      <c r="AV96" s="24">
        <f t="shared" si="114"/>
        <v>4.7785619892877058</v>
      </c>
      <c r="AW96" s="24">
        <f t="shared" si="115"/>
        <v>0.96531755311952694</v>
      </c>
      <c r="AX96" s="24">
        <f t="shared" si="116"/>
        <v>0</v>
      </c>
      <c r="AY96" s="25">
        <f t="shared" si="117"/>
        <v>0</v>
      </c>
      <c r="AZ96" s="24">
        <f t="shared" si="118"/>
        <v>0</v>
      </c>
      <c r="BA96" s="48">
        <f t="shared" si="91"/>
        <v>0</v>
      </c>
      <c r="BB96" s="48">
        <f t="shared" si="119"/>
        <v>0</v>
      </c>
      <c r="BC96" s="24">
        <f t="shared" si="120"/>
        <v>0</v>
      </c>
      <c r="BD96" s="51">
        <f t="shared" si="121"/>
        <v>0</v>
      </c>
      <c r="BE96" s="86">
        <f t="shared" si="122"/>
        <v>8.8634808336779916</v>
      </c>
      <c r="BF96" s="30">
        <f t="shared" si="123"/>
        <v>0.43494734550072023</v>
      </c>
      <c r="BG96" s="30">
        <f t="shared" si="124"/>
        <v>8.8634808336779916</v>
      </c>
    </row>
    <row r="97" spans="1:59" x14ac:dyDescent="0.25">
      <c r="A97" s="15">
        <v>42242</v>
      </c>
      <c r="B97">
        <v>0</v>
      </c>
      <c r="C97" s="54">
        <f t="shared" si="52"/>
        <v>0</v>
      </c>
      <c r="E97"/>
      <c r="G97" s="15"/>
      <c r="L97" s="78">
        <f t="shared" si="96"/>
        <v>0</v>
      </c>
      <c r="M97" s="64"/>
      <c r="N97" s="58">
        <v>42242</v>
      </c>
      <c r="O97" s="34">
        <f t="shared" si="97"/>
        <v>0</v>
      </c>
      <c r="P97" s="80">
        <f t="shared" si="98"/>
        <v>0</v>
      </c>
      <c r="Q97" s="80">
        <f t="shared" si="84"/>
        <v>0</v>
      </c>
      <c r="R97" s="79">
        <f t="shared" si="99"/>
        <v>61550.802139037427</v>
      </c>
      <c r="S97" s="81">
        <f t="shared" si="100"/>
        <v>1.4130119866629345</v>
      </c>
      <c r="T97" s="80">
        <f t="shared" si="101"/>
        <v>6.767480833677987</v>
      </c>
      <c r="U97" s="83">
        <f>LOOKUP(N97,'weather data'!$B$7:$B$158,'weather data'!$C$7:$C$158)</f>
        <v>0.02</v>
      </c>
      <c r="V97" s="83">
        <f t="shared" si="102"/>
        <v>0</v>
      </c>
      <c r="W97" s="83">
        <f t="shared" si="103"/>
        <v>2.0960000000000005</v>
      </c>
      <c r="X97" s="75">
        <f>LOOKUP(N97,'weather data'!$B$7:$B$158,'weather data'!$D$7:$D$158)</f>
        <v>0.09</v>
      </c>
      <c r="Y97" s="165">
        <f t="shared" si="94"/>
        <v>0.75882352941176467</v>
      </c>
      <c r="Z97" s="165">
        <f t="shared" si="85"/>
        <v>0.49323529411764705</v>
      </c>
      <c r="AA97" s="165">
        <f t="shared" si="95"/>
        <v>0.98</v>
      </c>
      <c r="AB97" s="165">
        <f t="shared" si="86"/>
        <v>0.63700000000000001</v>
      </c>
      <c r="AC97" s="165">
        <f t="shared" si="93"/>
        <v>0.77777777777777857</v>
      </c>
      <c r="AD97" s="165">
        <f t="shared" si="87"/>
        <v>0.54444444444444495</v>
      </c>
      <c r="AE97" s="165">
        <f t="shared" si="92"/>
        <v>0.81399999999999983</v>
      </c>
      <c r="AF97" s="165">
        <f t="shared" si="88"/>
        <v>0.69189999999999985</v>
      </c>
      <c r="AG97" s="155">
        <f t="shared" si="89"/>
        <v>0.58194524836601302</v>
      </c>
      <c r="AH97" s="87">
        <f t="shared" si="104"/>
        <v>1</v>
      </c>
      <c r="AI97" s="156">
        <f t="shared" si="105"/>
        <v>0.58194524836601302</v>
      </c>
      <c r="AJ97" s="82">
        <f t="shared" si="106"/>
        <v>5.2375072352941171E-2</v>
      </c>
      <c r="AK97" s="82">
        <f t="shared" si="107"/>
        <v>5.2375072352941171E-2</v>
      </c>
      <c r="AL97" s="82">
        <f t="shared" si="108"/>
        <v>11.468493916743217</v>
      </c>
      <c r="AM97" s="157">
        <v>1</v>
      </c>
      <c r="AN97" s="24">
        <f t="shared" si="77"/>
        <v>4.6399999999999997</v>
      </c>
      <c r="AO97" s="51"/>
      <c r="AP97" s="51">
        <f t="shared" si="109"/>
        <v>7.3311999999999999</v>
      </c>
      <c r="AQ97" s="51">
        <f t="shared" si="90"/>
        <v>186.21248</v>
      </c>
      <c r="AR97" s="24">
        <f t="shared" si="110"/>
        <v>2.7125439999999998</v>
      </c>
      <c r="AS97" s="37">
        <f t="shared" si="111"/>
        <v>4.6186559999999997</v>
      </c>
      <c r="AT97" s="24">
        <f t="shared" si="112"/>
        <v>2.5526380107122941</v>
      </c>
      <c r="AU97" s="24">
        <f t="shared" si="113"/>
        <v>2.6050130830652352</v>
      </c>
      <c r="AV97" s="24">
        <f t="shared" si="114"/>
        <v>4.7261869169347648</v>
      </c>
      <c r="AW97" s="24">
        <f t="shared" si="115"/>
        <v>1</v>
      </c>
      <c r="AX97" s="24">
        <f t="shared" si="116"/>
        <v>0</v>
      </c>
      <c r="AY97" s="25">
        <f t="shared" si="117"/>
        <v>0</v>
      </c>
      <c r="AZ97" s="24">
        <f t="shared" si="118"/>
        <v>0</v>
      </c>
      <c r="BA97" s="48">
        <f t="shared" si="91"/>
        <v>0</v>
      </c>
      <c r="BB97" s="48">
        <f t="shared" si="119"/>
        <v>0</v>
      </c>
      <c r="BC97" s="24">
        <f t="shared" si="120"/>
        <v>0</v>
      </c>
      <c r="BD97" s="51">
        <f t="shared" si="121"/>
        <v>0</v>
      </c>
      <c r="BE97" s="86">
        <f t="shared" si="122"/>
        <v>8.8634808336779916</v>
      </c>
      <c r="BF97" s="30">
        <f t="shared" si="123"/>
        <v>0</v>
      </c>
      <c r="BG97" s="30">
        <f t="shared" si="124"/>
        <v>8.8634808336779916</v>
      </c>
    </row>
    <row r="98" spans="1:59" x14ac:dyDescent="0.25">
      <c r="A98" s="15">
        <v>42243</v>
      </c>
      <c r="B98">
        <v>0</v>
      </c>
      <c r="C98" s="54">
        <f t="shared" si="52"/>
        <v>0</v>
      </c>
      <c r="E98"/>
      <c r="G98" s="15"/>
      <c r="L98" s="78">
        <f t="shared" si="96"/>
        <v>0</v>
      </c>
      <c r="M98" s="64"/>
      <c r="N98" s="58">
        <v>42243</v>
      </c>
      <c r="O98" s="34">
        <f t="shared" si="97"/>
        <v>0</v>
      </c>
      <c r="P98" s="80">
        <f t="shared" si="98"/>
        <v>0</v>
      </c>
      <c r="Q98" s="80">
        <f t="shared" si="84"/>
        <v>0</v>
      </c>
      <c r="R98" s="79">
        <f t="shared" si="99"/>
        <v>61550.802139037427</v>
      </c>
      <c r="S98" s="81">
        <f t="shared" si="100"/>
        <v>1.4130119866629345</v>
      </c>
      <c r="T98" s="80">
        <f t="shared" si="101"/>
        <v>6.767480833677987</v>
      </c>
      <c r="U98" s="83">
        <f>LOOKUP(N98,'weather data'!$B$7:$B$158,'weather data'!$C$7:$C$158)</f>
        <v>0</v>
      </c>
      <c r="V98" s="83">
        <f t="shared" si="102"/>
        <v>0</v>
      </c>
      <c r="W98" s="83">
        <f t="shared" si="103"/>
        <v>2.0960000000000005</v>
      </c>
      <c r="X98" s="75">
        <f>LOOKUP(N98,'weather data'!$B$7:$B$158,'weather data'!$D$7:$D$158)</f>
        <v>0.18</v>
      </c>
      <c r="Y98" s="165">
        <f t="shared" si="94"/>
        <v>0.72647058823529409</v>
      </c>
      <c r="Z98" s="165">
        <f t="shared" si="85"/>
        <v>0.4722058823529412</v>
      </c>
      <c r="AA98" s="165">
        <f t="shared" si="95"/>
        <v>0.97</v>
      </c>
      <c r="AB98" s="165">
        <f t="shared" si="86"/>
        <v>0.63049999999999995</v>
      </c>
      <c r="AC98" s="165">
        <f t="shared" si="93"/>
        <v>0.76388888888888973</v>
      </c>
      <c r="AD98" s="165">
        <f t="shared" si="87"/>
        <v>0.53472222222222276</v>
      </c>
      <c r="AE98" s="165">
        <f t="shared" si="92"/>
        <v>0.80599999999999983</v>
      </c>
      <c r="AF98" s="165">
        <f t="shared" si="88"/>
        <v>0.68509999999999982</v>
      </c>
      <c r="AG98" s="155">
        <f t="shared" si="89"/>
        <v>0.56898230065359479</v>
      </c>
      <c r="AH98" s="87">
        <f t="shared" si="104"/>
        <v>1</v>
      </c>
      <c r="AI98" s="156">
        <f t="shared" si="105"/>
        <v>0.56898230065359479</v>
      </c>
      <c r="AJ98" s="82">
        <f t="shared" si="106"/>
        <v>0.10241681411764705</v>
      </c>
      <c r="AK98" s="82">
        <f t="shared" si="107"/>
        <v>0.10241681411764705</v>
      </c>
      <c r="AL98" s="82">
        <f t="shared" si="108"/>
        <v>11.570910730860865</v>
      </c>
      <c r="AM98" s="157">
        <v>1</v>
      </c>
      <c r="AN98" s="24">
        <f t="shared" si="77"/>
        <v>4.6399999999999997</v>
      </c>
      <c r="AO98" s="51"/>
      <c r="AP98" s="51">
        <f t="shared" si="109"/>
        <v>7.3311999999999999</v>
      </c>
      <c r="AQ98" s="51">
        <f t="shared" si="90"/>
        <v>186.21248</v>
      </c>
      <c r="AR98" s="24">
        <f t="shared" si="110"/>
        <v>2.7125439999999998</v>
      </c>
      <c r="AS98" s="37">
        <f t="shared" si="111"/>
        <v>4.6186559999999997</v>
      </c>
      <c r="AT98" s="24">
        <f t="shared" si="112"/>
        <v>2.6050130830652352</v>
      </c>
      <c r="AU98" s="24">
        <f t="shared" si="113"/>
        <v>2.7074298971828821</v>
      </c>
      <c r="AV98" s="24">
        <f t="shared" si="114"/>
        <v>4.6237701028171179</v>
      </c>
      <c r="AW98" s="24">
        <f t="shared" si="115"/>
        <v>1</v>
      </c>
      <c r="AX98" s="24">
        <f t="shared" si="116"/>
        <v>0</v>
      </c>
      <c r="AY98" s="25">
        <f t="shared" si="117"/>
        <v>0</v>
      </c>
      <c r="AZ98" s="24">
        <f t="shared" si="118"/>
        <v>0</v>
      </c>
      <c r="BA98" s="48">
        <f t="shared" si="91"/>
        <v>0</v>
      </c>
      <c r="BB98" s="48">
        <f t="shared" si="119"/>
        <v>0</v>
      </c>
      <c r="BC98" s="24">
        <f t="shared" si="120"/>
        <v>0</v>
      </c>
      <c r="BD98" s="51">
        <f t="shared" si="121"/>
        <v>0</v>
      </c>
      <c r="BE98" s="86">
        <f t="shared" si="122"/>
        <v>8.8634808336779916</v>
      </c>
      <c r="BF98" s="30">
        <f t="shared" si="123"/>
        <v>0</v>
      </c>
      <c r="BG98" s="30">
        <f t="shared" si="124"/>
        <v>8.8634808336779916</v>
      </c>
    </row>
    <row r="99" spans="1:59" x14ac:dyDescent="0.25">
      <c r="A99" s="15">
        <v>42244</v>
      </c>
      <c r="B99">
        <v>0</v>
      </c>
      <c r="C99" s="54">
        <f t="shared" si="52"/>
        <v>0</v>
      </c>
      <c r="E99"/>
      <c r="G99" s="15"/>
      <c r="L99" s="78">
        <f t="shared" si="96"/>
        <v>0</v>
      </c>
      <c r="M99" s="64"/>
      <c r="N99" s="58">
        <v>42244</v>
      </c>
      <c r="O99" s="34">
        <f t="shared" si="97"/>
        <v>0</v>
      </c>
      <c r="P99" s="80">
        <f t="shared" si="98"/>
        <v>0</v>
      </c>
      <c r="Q99" s="80">
        <f t="shared" si="84"/>
        <v>0</v>
      </c>
      <c r="R99" s="79">
        <f t="shared" si="99"/>
        <v>61550.802139037427</v>
      </c>
      <c r="S99" s="81">
        <f t="shared" si="100"/>
        <v>1.4130119866629345</v>
      </c>
      <c r="T99" s="80">
        <f t="shared" si="101"/>
        <v>6.767480833677987</v>
      </c>
      <c r="U99" s="83">
        <f>LOOKUP(N99,'weather data'!$B$7:$B$158,'weather data'!$C$7:$C$158)</f>
        <v>0</v>
      </c>
      <c r="V99" s="83">
        <f t="shared" si="102"/>
        <v>0</v>
      </c>
      <c r="W99" s="83">
        <f t="shared" si="103"/>
        <v>2.0960000000000005</v>
      </c>
      <c r="X99" s="75">
        <f>LOOKUP(N99,'weather data'!$B$7:$B$158,'weather data'!$D$7:$D$158)</f>
        <v>0.18</v>
      </c>
      <c r="Y99" s="165">
        <f t="shared" si="94"/>
        <v>0.69411764705882351</v>
      </c>
      <c r="Z99" s="165">
        <f t="shared" si="85"/>
        <v>0.45117647058823529</v>
      </c>
      <c r="AA99" s="165">
        <f t="shared" si="95"/>
        <v>0.96</v>
      </c>
      <c r="AB99" s="165">
        <f t="shared" si="86"/>
        <v>0.624</v>
      </c>
      <c r="AC99" s="165">
        <f t="shared" si="93"/>
        <v>0.75000000000000089</v>
      </c>
      <c r="AD99" s="165">
        <f t="shared" si="87"/>
        <v>0.52500000000000058</v>
      </c>
      <c r="AE99" s="165">
        <f t="shared" si="92"/>
        <v>0.79799999999999982</v>
      </c>
      <c r="AF99" s="165">
        <f t="shared" si="88"/>
        <v>0.67829999999999979</v>
      </c>
      <c r="AG99" s="155">
        <f t="shared" si="89"/>
        <v>0.55601935294117644</v>
      </c>
      <c r="AH99" s="87">
        <f t="shared" si="104"/>
        <v>1</v>
      </c>
      <c r="AI99" s="156">
        <f t="shared" si="105"/>
        <v>0.55601935294117644</v>
      </c>
      <c r="AJ99" s="82">
        <f t="shared" si="106"/>
        <v>0.10008348352941175</v>
      </c>
      <c r="AK99" s="82">
        <f t="shared" si="107"/>
        <v>0.10008348352941175</v>
      </c>
      <c r="AL99" s="82">
        <f t="shared" si="108"/>
        <v>11.670994214390277</v>
      </c>
      <c r="AM99" s="157">
        <v>1</v>
      </c>
      <c r="AN99" s="24">
        <f t="shared" si="77"/>
        <v>4.6399999999999997</v>
      </c>
      <c r="AO99" s="51"/>
      <c r="AP99" s="51">
        <f t="shared" si="109"/>
        <v>7.3311999999999999</v>
      </c>
      <c r="AQ99" s="51">
        <f t="shared" si="90"/>
        <v>186.21248</v>
      </c>
      <c r="AR99" s="24">
        <f t="shared" si="110"/>
        <v>2.7125439999999998</v>
      </c>
      <c r="AS99" s="37">
        <f t="shared" si="111"/>
        <v>4.6186559999999997</v>
      </c>
      <c r="AT99" s="24">
        <f t="shared" si="112"/>
        <v>2.7074298971828821</v>
      </c>
      <c r="AU99" s="24">
        <f t="shared" si="113"/>
        <v>2.8075133807122938</v>
      </c>
      <c r="AV99" s="24">
        <f t="shared" si="114"/>
        <v>4.5236866192877061</v>
      </c>
      <c r="AW99" s="24">
        <f t="shared" si="115"/>
        <v>1</v>
      </c>
      <c r="AX99" s="24">
        <f t="shared" si="116"/>
        <v>0</v>
      </c>
      <c r="AY99" s="25">
        <f t="shared" si="117"/>
        <v>0</v>
      </c>
      <c r="AZ99" s="24">
        <f t="shared" si="118"/>
        <v>0</v>
      </c>
      <c r="BA99" s="48">
        <f t="shared" si="91"/>
        <v>0</v>
      </c>
      <c r="BB99" s="48">
        <f t="shared" si="119"/>
        <v>0</v>
      </c>
      <c r="BC99" s="24">
        <f t="shared" si="120"/>
        <v>0</v>
      </c>
      <c r="BD99" s="51">
        <f t="shared" si="121"/>
        <v>0</v>
      </c>
      <c r="BE99" s="86">
        <f t="shared" si="122"/>
        <v>8.8634808336779916</v>
      </c>
      <c r="BF99" s="30">
        <f t="shared" si="123"/>
        <v>0</v>
      </c>
      <c r="BG99" s="30">
        <f t="shared" si="124"/>
        <v>8.8634808336779916</v>
      </c>
    </row>
    <row r="100" spans="1:59" x14ac:dyDescent="0.25">
      <c r="A100" s="15">
        <v>42245</v>
      </c>
      <c r="B100">
        <v>0</v>
      </c>
      <c r="C100" s="54">
        <f t="shared" si="52"/>
        <v>0</v>
      </c>
      <c r="E100"/>
      <c r="G100" s="15"/>
      <c r="L100" s="78">
        <f t="shared" si="96"/>
        <v>0</v>
      </c>
      <c r="M100" s="64"/>
      <c r="N100" s="58">
        <v>42245</v>
      </c>
      <c r="O100" s="34">
        <f t="shared" si="97"/>
        <v>0</v>
      </c>
      <c r="P100" s="80">
        <f t="shared" si="98"/>
        <v>0</v>
      </c>
      <c r="Q100" s="80">
        <f t="shared" si="84"/>
        <v>0</v>
      </c>
      <c r="R100" s="79">
        <f t="shared" si="99"/>
        <v>61550.802139037427</v>
      </c>
      <c r="S100" s="81">
        <f t="shared" si="100"/>
        <v>1.4130119866629345</v>
      </c>
      <c r="T100" s="80">
        <f t="shared" si="101"/>
        <v>6.767480833677987</v>
      </c>
      <c r="U100" s="83">
        <f>LOOKUP(N100,'weather data'!$B$7:$B$158,'weather data'!$C$7:$C$158)</f>
        <v>0</v>
      </c>
      <c r="V100" s="83">
        <f t="shared" si="102"/>
        <v>0</v>
      </c>
      <c r="W100" s="83">
        <f t="shared" si="103"/>
        <v>2.0960000000000005</v>
      </c>
      <c r="X100" s="75">
        <f>LOOKUP(N100,'weather data'!$B$7:$B$158,'weather data'!$D$7:$D$158)</f>
        <v>0.19</v>
      </c>
      <c r="Y100" s="165">
        <f t="shared" si="94"/>
        <v>0.66176470588235292</v>
      </c>
      <c r="Z100" s="165">
        <f t="shared" si="85"/>
        <v>0.43014705882352944</v>
      </c>
      <c r="AA100" s="165">
        <f t="shared" si="95"/>
        <v>0.95</v>
      </c>
      <c r="AB100" s="165">
        <f t="shared" si="86"/>
        <v>0.61749999999999994</v>
      </c>
      <c r="AC100" s="165">
        <f t="shared" si="93"/>
        <v>0.73611111111111205</v>
      </c>
      <c r="AD100" s="165">
        <f t="shared" si="87"/>
        <v>0.51527777777777839</v>
      </c>
      <c r="AE100" s="165">
        <f t="shared" si="92"/>
        <v>0.78999999999999981</v>
      </c>
      <c r="AF100" s="165">
        <f t="shared" si="88"/>
        <v>0.67149999999999987</v>
      </c>
      <c r="AG100" s="155">
        <f t="shared" si="89"/>
        <v>0.5430564052287582</v>
      </c>
      <c r="AH100" s="87">
        <f t="shared" si="104"/>
        <v>0.97943787527967152</v>
      </c>
      <c r="AI100" s="156">
        <f t="shared" si="105"/>
        <v>0.53189001169427119</v>
      </c>
      <c r="AJ100" s="82">
        <f t="shared" si="106"/>
        <v>0.10318071699346405</v>
      </c>
      <c r="AK100" s="82">
        <f t="shared" si="107"/>
        <v>0.10105910222191153</v>
      </c>
      <c r="AL100" s="82">
        <f t="shared" si="108"/>
        <v>11.772053316612189</v>
      </c>
      <c r="AM100" s="157">
        <v>1</v>
      </c>
      <c r="AN100" s="24">
        <f t="shared" si="77"/>
        <v>4.6399999999999997</v>
      </c>
      <c r="AO100" s="51"/>
      <c r="AP100" s="51">
        <f t="shared" si="109"/>
        <v>7.3311999999999999</v>
      </c>
      <c r="AQ100" s="51">
        <f t="shared" si="90"/>
        <v>186.21248</v>
      </c>
      <c r="AR100" s="24">
        <f t="shared" si="110"/>
        <v>2.7125439999999998</v>
      </c>
      <c r="AS100" s="37">
        <f t="shared" si="111"/>
        <v>4.6186559999999997</v>
      </c>
      <c r="AT100" s="24">
        <f t="shared" si="112"/>
        <v>2.8075133807122938</v>
      </c>
      <c r="AU100" s="24">
        <f t="shared" si="113"/>
        <v>2.9085724829342054</v>
      </c>
      <c r="AV100" s="24">
        <f t="shared" si="114"/>
        <v>4.4226275170657949</v>
      </c>
      <c r="AW100" s="24">
        <f t="shared" si="115"/>
        <v>0.97943787527967152</v>
      </c>
      <c r="AX100" s="24">
        <f t="shared" si="116"/>
        <v>0</v>
      </c>
      <c r="AY100" s="25">
        <f t="shared" si="117"/>
        <v>0</v>
      </c>
      <c r="AZ100" s="24">
        <f t="shared" si="118"/>
        <v>0</v>
      </c>
      <c r="BA100" s="48">
        <f t="shared" si="91"/>
        <v>0</v>
      </c>
      <c r="BB100" s="48">
        <f t="shared" si="119"/>
        <v>0</v>
      </c>
      <c r="BC100" s="24">
        <f t="shared" si="120"/>
        <v>0</v>
      </c>
      <c r="BD100" s="51">
        <f t="shared" si="121"/>
        <v>0</v>
      </c>
      <c r="BE100" s="86">
        <f t="shared" si="122"/>
        <v>8.8634808336779916</v>
      </c>
      <c r="BF100" s="30">
        <f t="shared" si="123"/>
        <v>0</v>
      </c>
      <c r="BG100" s="30">
        <f t="shared" si="124"/>
        <v>8.8634808336779916</v>
      </c>
    </row>
    <row r="101" spans="1:59" x14ac:dyDescent="0.25">
      <c r="A101" s="15">
        <v>42246</v>
      </c>
      <c r="B101">
        <v>0</v>
      </c>
      <c r="C101" s="54">
        <f t="shared" si="52"/>
        <v>0</v>
      </c>
      <c r="E101"/>
      <c r="G101" s="15"/>
      <c r="L101" s="78">
        <f t="shared" si="96"/>
        <v>0</v>
      </c>
      <c r="M101" s="64"/>
      <c r="N101" s="58">
        <v>42246</v>
      </c>
      <c r="O101" s="34">
        <f t="shared" si="97"/>
        <v>0</v>
      </c>
      <c r="P101" s="80">
        <f t="shared" si="98"/>
        <v>0</v>
      </c>
      <c r="Q101" s="80">
        <f t="shared" si="84"/>
        <v>0</v>
      </c>
      <c r="R101" s="79">
        <f t="shared" si="99"/>
        <v>61550.802139037427</v>
      </c>
      <c r="S101" s="81">
        <f t="shared" si="100"/>
        <v>1.4130119866629345</v>
      </c>
      <c r="T101" s="80">
        <f t="shared" si="101"/>
        <v>6.767480833677987</v>
      </c>
      <c r="U101" s="83">
        <f>LOOKUP(N101,'weather data'!$B$7:$B$158,'weather data'!$C$7:$C$158)</f>
        <v>0</v>
      </c>
      <c r="V101" s="83">
        <f t="shared" si="102"/>
        <v>0</v>
      </c>
      <c r="W101" s="83">
        <f t="shared" si="103"/>
        <v>2.0960000000000005</v>
      </c>
      <c r="X101" s="75">
        <f>LOOKUP(N101,'weather data'!$B$7:$B$158,'weather data'!$D$7:$D$158)</f>
        <v>0.21</v>
      </c>
      <c r="Y101" s="165">
        <f t="shared" si="94"/>
        <v>0.62941176470588234</v>
      </c>
      <c r="Z101" s="165">
        <f t="shared" si="85"/>
        <v>0.40911764705882353</v>
      </c>
      <c r="AA101" s="165">
        <f t="shared" si="95"/>
        <v>0.94</v>
      </c>
      <c r="AB101" s="165">
        <f t="shared" si="86"/>
        <v>0.61099999999999999</v>
      </c>
      <c r="AC101" s="165">
        <f t="shared" si="93"/>
        <v>0.72222222222222321</v>
      </c>
      <c r="AD101" s="165">
        <f t="shared" si="87"/>
        <v>0.5055555555555562</v>
      </c>
      <c r="AE101" s="165">
        <f t="shared" si="92"/>
        <v>0.78199999999999981</v>
      </c>
      <c r="AF101" s="165">
        <f t="shared" si="88"/>
        <v>0.66469999999999985</v>
      </c>
      <c r="AG101" s="155">
        <f t="shared" si="89"/>
        <v>0.53009345751633985</v>
      </c>
      <c r="AH101" s="87">
        <f t="shared" si="104"/>
        <v>0.9575572454553436</v>
      </c>
      <c r="AI101" s="156">
        <f t="shared" si="105"/>
        <v>0.50759483101324554</v>
      </c>
      <c r="AJ101" s="82">
        <f t="shared" si="106"/>
        <v>0.11131962607843136</v>
      </c>
      <c r="AK101" s="82">
        <f t="shared" si="107"/>
        <v>0.10659491451278157</v>
      </c>
      <c r="AL101" s="82">
        <f t="shared" si="108"/>
        <v>11.87864823112497</v>
      </c>
      <c r="AM101" s="157">
        <v>1</v>
      </c>
      <c r="AN101" s="24">
        <f t="shared" si="77"/>
        <v>4.6399999999999997</v>
      </c>
      <c r="AO101" s="51"/>
      <c r="AP101" s="51">
        <f t="shared" si="109"/>
        <v>7.3311999999999999</v>
      </c>
      <c r="AQ101" s="51">
        <f t="shared" si="90"/>
        <v>186.21248</v>
      </c>
      <c r="AR101" s="24">
        <f t="shared" si="110"/>
        <v>2.7125439999999998</v>
      </c>
      <c r="AS101" s="37">
        <f t="shared" si="111"/>
        <v>4.6186559999999997</v>
      </c>
      <c r="AT101" s="24">
        <f t="shared" si="112"/>
        <v>2.9085724829342054</v>
      </c>
      <c r="AU101" s="24">
        <f t="shared" si="113"/>
        <v>3.0151673974469868</v>
      </c>
      <c r="AV101" s="24">
        <f t="shared" si="114"/>
        <v>4.3160326025530136</v>
      </c>
      <c r="AW101" s="24">
        <f t="shared" si="115"/>
        <v>0.9575572454553436</v>
      </c>
      <c r="AX101" s="24">
        <f t="shared" si="116"/>
        <v>0</v>
      </c>
      <c r="AY101" s="25">
        <f t="shared" si="117"/>
        <v>0</v>
      </c>
      <c r="AZ101" s="24">
        <f t="shared" si="118"/>
        <v>0</v>
      </c>
      <c r="BA101" s="48">
        <f t="shared" si="91"/>
        <v>0</v>
      </c>
      <c r="BB101" s="48">
        <f t="shared" si="119"/>
        <v>0</v>
      </c>
      <c r="BC101" s="24">
        <f t="shared" si="120"/>
        <v>0</v>
      </c>
      <c r="BD101" s="51">
        <f t="shared" si="121"/>
        <v>0</v>
      </c>
      <c r="BE101" s="86">
        <f t="shared" si="122"/>
        <v>8.8634808336779916</v>
      </c>
      <c r="BF101" s="30">
        <f t="shared" si="123"/>
        <v>0</v>
      </c>
      <c r="BG101" s="30">
        <f t="shared" si="124"/>
        <v>8.8634808336779916</v>
      </c>
    </row>
    <row r="102" spans="1:59" x14ac:dyDescent="0.25">
      <c r="A102" s="15">
        <v>42247</v>
      </c>
      <c r="B102">
        <v>0</v>
      </c>
      <c r="C102" s="54">
        <f t="shared" si="52"/>
        <v>0</v>
      </c>
      <c r="E102"/>
      <c r="G102" s="15"/>
      <c r="L102" s="78">
        <f t="shared" si="96"/>
        <v>0</v>
      </c>
      <c r="M102" s="64"/>
      <c r="N102" s="58">
        <v>42247</v>
      </c>
      <c r="O102" s="34">
        <f t="shared" si="97"/>
        <v>0</v>
      </c>
      <c r="P102" s="80">
        <f t="shared" si="98"/>
        <v>0</v>
      </c>
      <c r="Q102" s="80">
        <f t="shared" si="84"/>
        <v>0</v>
      </c>
      <c r="R102" s="79">
        <f t="shared" si="99"/>
        <v>61550.802139037427</v>
      </c>
      <c r="S102" s="81">
        <f t="shared" si="100"/>
        <v>1.4130119866629345</v>
      </c>
      <c r="T102" s="80">
        <f t="shared" si="101"/>
        <v>6.767480833677987</v>
      </c>
      <c r="U102" s="83">
        <f>LOOKUP(N102,'weather data'!$B$7:$B$158,'weather data'!$C$7:$C$158)</f>
        <v>0</v>
      </c>
      <c r="V102" s="83">
        <f t="shared" si="102"/>
        <v>0</v>
      </c>
      <c r="W102" s="83">
        <f t="shared" si="103"/>
        <v>2.0960000000000005</v>
      </c>
      <c r="X102" s="75">
        <f>LOOKUP(N102,'weather data'!$B$7:$B$158,'weather data'!$D$7:$D$158)</f>
        <v>0.18</v>
      </c>
      <c r="Y102" s="165">
        <f t="shared" si="94"/>
        <v>0.59705882352941175</v>
      </c>
      <c r="Z102" s="165">
        <f t="shared" si="85"/>
        <v>0.38808823529411768</v>
      </c>
      <c r="AA102" s="165">
        <f t="shared" si="95"/>
        <v>0.92999999999999994</v>
      </c>
      <c r="AB102" s="165">
        <f t="shared" si="86"/>
        <v>0.60449999999999993</v>
      </c>
      <c r="AC102" s="165">
        <f t="shared" si="93"/>
        <v>0.70833333333333437</v>
      </c>
      <c r="AD102" s="165">
        <f t="shared" si="87"/>
        <v>0.49583333333333401</v>
      </c>
      <c r="AE102" s="165">
        <f t="shared" si="92"/>
        <v>0.7739999999999998</v>
      </c>
      <c r="AF102" s="165">
        <f t="shared" si="88"/>
        <v>0.65789999999999982</v>
      </c>
      <c r="AG102" s="155">
        <f t="shared" si="89"/>
        <v>0.51713050980392161</v>
      </c>
      <c r="AH102" s="87">
        <f t="shared" si="104"/>
        <v>0.93447803918564487</v>
      </c>
      <c r="AI102" s="156">
        <f t="shared" si="105"/>
        <v>0.48324710480464156</v>
      </c>
      <c r="AJ102" s="82">
        <f t="shared" si="106"/>
        <v>9.3083491764705886E-2</v>
      </c>
      <c r="AK102" s="82">
        <f t="shared" si="107"/>
        <v>8.6984478864835485E-2</v>
      </c>
      <c r="AL102" s="82">
        <f t="shared" si="108"/>
        <v>11.965632709989805</v>
      </c>
      <c r="AM102" s="157">
        <v>1</v>
      </c>
      <c r="AN102" s="24">
        <f t="shared" si="77"/>
        <v>4.6399999999999997</v>
      </c>
      <c r="AO102" s="51"/>
      <c r="AP102" s="51">
        <f t="shared" si="109"/>
        <v>7.3311999999999999</v>
      </c>
      <c r="AQ102" s="51">
        <f t="shared" si="90"/>
        <v>186.21248</v>
      </c>
      <c r="AR102" s="24">
        <f t="shared" si="110"/>
        <v>2.7125439999999998</v>
      </c>
      <c r="AS102" s="37">
        <f t="shared" si="111"/>
        <v>4.6186559999999997</v>
      </c>
      <c r="AT102" s="24">
        <f t="shared" si="112"/>
        <v>3.0151673974469868</v>
      </c>
      <c r="AU102" s="24">
        <f t="shared" si="113"/>
        <v>3.1021518763118223</v>
      </c>
      <c r="AV102" s="24">
        <f t="shared" si="114"/>
        <v>4.2290481236881776</v>
      </c>
      <c r="AW102" s="24">
        <f t="shared" si="115"/>
        <v>0.93447803918564498</v>
      </c>
      <c r="AX102" s="24">
        <f t="shared" si="116"/>
        <v>0</v>
      </c>
      <c r="AY102" s="25">
        <f t="shared" si="117"/>
        <v>0</v>
      </c>
      <c r="AZ102" s="24">
        <f t="shared" si="118"/>
        <v>0</v>
      </c>
      <c r="BA102" s="48">
        <f t="shared" si="91"/>
        <v>0</v>
      </c>
      <c r="BB102" s="48">
        <f t="shared" si="119"/>
        <v>0</v>
      </c>
      <c r="BC102" s="24">
        <f t="shared" si="120"/>
        <v>0</v>
      </c>
      <c r="BD102" s="51">
        <f t="shared" si="121"/>
        <v>0</v>
      </c>
      <c r="BE102" s="86">
        <f t="shared" si="122"/>
        <v>8.8634808336779916</v>
      </c>
      <c r="BF102" s="30">
        <f t="shared" si="123"/>
        <v>0</v>
      </c>
      <c r="BG102" s="30">
        <f t="shared" si="124"/>
        <v>8.8634808336779916</v>
      </c>
    </row>
    <row r="103" spans="1:59" x14ac:dyDescent="0.25">
      <c r="A103" s="15">
        <v>42248</v>
      </c>
      <c r="B103">
        <v>29830</v>
      </c>
      <c r="C103" s="54">
        <f t="shared" si="52"/>
        <v>3987.9679144385022</v>
      </c>
      <c r="E103"/>
      <c r="G103" s="15"/>
      <c r="L103" s="78">
        <f t="shared" si="96"/>
        <v>3987.9679144385022</v>
      </c>
      <c r="M103" s="64"/>
      <c r="N103" s="58">
        <v>42248</v>
      </c>
      <c r="O103" s="34">
        <f t="shared" si="97"/>
        <v>3987.9679144385022</v>
      </c>
      <c r="P103" s="80">
        <f t="shared" si="98"/>
        <v>0.43847513742096944</v>
      </c>
      <c r="Q103" s="80">
        <f t="shared" si="84"/>
        <v>11.137268490492623</v>
      </c>
      <c r="R103" s="79">
        <f t="shared" si="99"/>
        <v>65538.770053475935</v>
      </c>
      <c r="S103" s="81">
        <f t="shared" si="100"/>
        <v>1.5045631325407698</v>
      </c>
      <c r="T103" s="80">
        <f t="shared" si="101"/>
        <v>7.2059559710989571</v>
      </c>
      <c r="U103" s="83">
        <f>LOOKUP(N103,'weather data'!$B$7:$B$158,'weather data'!$C$7:$C$158)</f>
        <v>0</v>
      </c>
      <c r="V103" s="83">
        <f t="shared" si="102"/>
        <v>0</v>
      </c>
      <c r="W103" s="83">
        <f t="shared" si="103"/>
        <v>2.0960000000000005</v>
      </c>
      <c r="X103" s="75">
        <f>LOOKUP(N103,'weather data'!$B$7:$B$158,'weather data'!$D$7:$D$158)</f>
        <v>0.18</v>
      </c>
      <c r="Y103" s="165">
        <f t="shared" si="94"/>
        <v>0.56470588235294117</v>
      </c>
      <c r="Z103" s="165">
        <f t="shared" si="85"/>
        <v>0.36705882352941177</v>
      </c>
      <c r="AA103" s="165">
        <f t="shared" si="95"/>
        <v>0.91999999999999993</v>
      </c>
      <c r="AB103" s="165">
        <f t="shared" si="86"/>
        <v>0.59799999999999998</v>
      </c>
      <c r="AC103" s="165">
        <f t="shared" si="93"/>
        <v>0.69444444444444553</v>
      </c>
      <c r="AD103" s="165">
        <f t="shared" si="87"/>
        <v>0.48611111111111183</v>
      </c>
      <c r="AE103" s="165">
        <f t="shared" si="92"/>
        <v>0.76599999999999979</v>
      </c>
      <c r="AF103" s="165">
        <f t="shared" si="88"/>
        <v>0.65109999999999979</v>
      </c>
      <c r="AG103" s="155">
        <f t="shared" si="89"/>
        <v>0.50416756209150326</v>
      </c>
      <c r="AH103" s="87">
        <f t="shared" si="104"/>
        <v>0.91564475113283561</v>
      </c>
      <c r="AI103" s="156">
        <f t="shared" si="105"/>
        <v>0.46163838192052298</v>
      </c>
      <c r="AJ103" s="82">
        <f t="shared" si="106"/>
        <v>9.0750161176470584E-2</v>
      </c>
      <c r="AK103" s="82">
        <f t="shared" si="107"/>
        <v>8.3094908745694127E-2</v>
      </c>
      <c r="AL103" s="82">
        <f t="shared" si="108"/>
        <v>12.0487276187355</v>
      </c>
      <c r="AM103" s="157">
        <v>1</v>
      </c>
      <c r="AN103" s="24">
        <f t="shared" si="77"/>
        <v>4.6399999999999997</v>
      </c>
      <c r="AO103" s="51"/>
      <c r="AP103" s="51">
        <f t="shared" si="109"/>
        <v>7.3311999999999999</v>
      </c>
      <c r="AQ103" s="51">
        <f t="shared" si="90"/>
        <v>186.21248</v>
      </c>
      <c r="AR103" s="24">
        <f t="shared" si="110"/>
        <v>2.7125439999999998</v>
      </c>
      <c r="AS103" s="37">
        <f t="shared" si="111"/>
        <v>4.6186559999999997</v>
      </c>
      <c r="AT103" s="24">
        <f t="shared" si="112"/>
        <v>3.1021518763118223</v>
      </c>
      <c r="AU103" s="24">
        <f t="shared" si="113"/>
        <v>2.7467716476365469</v>
      </c>
      <c r="AV103" s="24">
        <f t="shared" si="114"/>
        <v>4.584428352363453</v>
      </c>
      <c r="AW103" s="24">
        <f t="shared" si="115"/>
        <v>0.91564475113283561</v>
      </c>
      <c r="AX103" s="24">
        <f t="shared" si="116"/>
        <v>0</v>
      </c>
      <c r="AY103" s="25">
        <f t="shared" si="117"/>
        <v>0</v>
      </c>
      <c r="AZ103" s="24">
        <f t="shared" si="118"/>
        <v>0</v>
      </c>
      <c r="BA103" s="48">
        <f t="shared" si="91"/>
        <v>0</v>
      </c>
      <c r="BB103" s="48">
        <f t="shared" si="119"/>
        <v>0</v>
      </c>
      <c r="BC103" s="24">
        <f t="shared" si="120"/>
        <v>0</v>
      </c>
      <c r="BD103" s="51">
        <f t="shared" si="121"/>
        <v>0</v>
      </c>
      <c r="BE103" s="86">
        <f t="shared" si="122"/>
        <v>9.3019559710989608</v>
      </c>
      <c r="BF103" s="30">
        <f t="shared" si="123"/>
        <v>0.43847513742096944</v>
      </c>
      <c r="BG103" s="30">
        <f t="shared" si="124"/>
        <v>9.3019559710989608</v>
      </c>
    </row>
    <row r="104" spans="1:59" x14ac:dyDescent="0.25">
      <c r="A104" s="15">
        <v>42249</v>
      </c>
      <c r="B104">
        <v>0</v>
      </c>
      <c r="C104" s="54">
        <f t="shared" si="52"/>
        <v>0</v>
      </c>
      <c r="E104"/>
      <c r="G104" s="15"/>
      <c r="L104" s="78">
        <f t="shared" si="96"/>
        <v>0</v>
      </c>
      <c r="M104" s="64"/>
      <c r="N104" s="58">
        <v>42249</v>
      </c>
      <c r="O104" s="34">
        <f t="shared" si="97"/>
        <v>0</v>
      </c>
      <c r="P104" s="80">
        <f t="shared" si="98"/>
        <v>0</v>
      </c>
      <c r="Q104" s="80">
        <f t="shared" si="84"/>
        <v>0</v>
      </c>
      <c r="R104" s="79">
        <f t="shared" si="99"/>
        <v>65538.770053475935</v>
      </c>
      <c r="S104" s="81">
        <f t="shared" si="100"/>
        <v>1.5045631325407698</v>
      </c>
      <c r="T104" s="80">
        <f t="shared" si="101"/>
        <v>7.2059559710989571</v>
      </c>
      <c r="U104" s="83">
        <f>LOOKUP(N104,'weather data'!$B$7:$B$158,'weather data'!$C$7:$C$158)</f>
        <v>0</v>
      </c>
      <c r="V104" s="83">
        <f t="shared" si="102"/>
        <v>0</v>
      </c>
      <c r="W104" s="83">
        <f t="shared" si="103"/>
        <v>2.0960000000000005</v>
      </c>
      <c r="X104" s="75">
        <f>LOOKUP(N104,'weather data'!$B$7:$B$158,'weather data'!$D$7:$D$158)</f>
        <v>0.26</v>
      </c>
      <c r="Y104" s="165">
        <f t="shared" si="94"/>
        <v>0.53235294117647058</v>
      </c>
      <c r="Z104" s="165">
        <f t="shared" si="85"/>
        <v>0.34602941176470592</v>
      </c>
      <c r="AA104" s="165">
        <f t="shared" si="95"/>
        <v>0.90999999999999992</v>
      </c>
      <c r="AB104" s="165">
        <f t="shared" si="86"/>
        <v>0.59149999999999991</v>
      </c>
      <c r="AC104" s="165">
        <f t="shared" si="93"/>
        <v>0.68055555555555669</v>
      </c>
      <c r="AD104" s="165">
        <f t="shared" si="87"/>
        <v>0.47638888888888964</v>
      </c>
      <c r="AE104" s="165">
        <f t="shared" si="92"/>
        <v>0.75799999999999979</v>
      </c>
      <c r="AF104" s="165">
        <f t="shared" si="88"/>
        <v>0.64429999999999976</v>
      </c>
      <c r="AG104" s="155">
        <f t="shared" si="89"/>
        <v>0.49120461437908497</v>
      </c>
      <c r="AH104" s="87">
        <f t="shared" si="104"/>
        <v>0.99258926240955236</v>
      </c>
      <c r="AI104" s="156">
        <f t="shared" si="105"/>
        <v>0.48756442587870452</v>
      </c>
      <c r="AJ104" s="82">
        <f t="shared" si="106"/>
        <v>0.1277131997385621</v>
      </c>
      <c r="AK104" s="82">
        <f t="shared" si="107"/>
        <v>0.12676675072846319</v>
      </c>
      <c r="AL104" s="82">
        <f t="shared" si="108"/>
        <v>12.175494369463962</v>
      </c>
      <c r="AM104" s="157">
        <v>1</v>
      </c>
      <c r="AN104" s="24">
        <f t="shared" si="77"/>
        <v>4.6399999999999997</v>
      </c>
      <c r="AO104" s="51"/>
      <c r="AP104" s="51">
        <f t="shared" si="109"/>
        <v>7.3311999999999999</v>
      </c>
      <c r="AQ104" s="51">
        <f t="shared" si="90"/>
        <v>186.21248</v>
      </c>
      <c r="AR104" s="24">
        <f t="shared" si="110"/>
        <v>2.7125439999999998</v>
      </c>
      <c r="AS104" s="37">
        <f t="shared" si="111"/>
        <v>4.6186559999999997</v>
      </c>
      <c r="AT104" s="24">
        <f t="shared" si="112"/>
        <v>2.7467716476365469</v>
      </c>
      <c r="AU104" s="24">
        <f t="shared" si="113"/>
        <v>2.8735383983650102</v>
      </c>
      <c r="AV104" s="24">
        <f t="shared" si="114"/>
        <v>4.4576616016349897</v>
      </c>
      <c r="AW104" s="24">
        <f t="shared" si="115"/>
        <v>0.99258926240955236</v>
      </c>
      <c r="AX104" s="24">
        <f t="shared" si="116"/>
        <v>0</v>
      </c>
      <c r="AY104" s="25">
        <f t="shared" si="117"/>
        <v>0</v>
      </c>
      <c r="AZ104" s="24">
        <f t="shared" si="118"/>
        <v>0</v>
      </c>
      <c r="BA104" s="48">
        <f t="shared" si="91"/>
        <v>0</v>
      </c>
      <c r="BB104" s="48">
        <f t="shared" si="119"/>
        <v>0</v>
      </c>
      <c r="BC104" s="24">
        <f t="shared" si="120"/>
        <v>0</v>
      </c>
      <c r="BD104" s="51">
        <f t="shared" si="121"/>
        <v>0</v>
      </c>
      <c r="BE104" s="86">
        <f t="shared" si="122"/>
        <v>9.3019559710989608</v>
      </c>
      <c r="BF104" s="30">
        <f t="shared" si="123"/>
        <v>0</v>
      </c>
      <c r="BG104" s="30">
        <f t="shared" si="124"/>
        <v>9.3019559710989608</v>
      </c>
    </row>
    <row r="105" spans="1:59" x14ac:dyDescent="0.25">
      <c r="A105" s="15">
        <v>42250</v>
      </c>
      <c r="B105">
        <v>0</v>
      </c>
      <c r="C105" s="54">
        <f t="shared" si="52"/>
        <v>0</v>
      </c>
      <c r="E105"/>
      <c r="G105" s="15"/>
      <c r="L105" s="78">
        <f t="shared" si="96"/>
        <v>0</v>
      </c>
      <c r="M105" s="64"/>
      <c r="N105" s="58">
        <v>42250</v>
      </c>
      <c r="O105" s="34">
        <f t="shared" si="97"/>
        <v>0</v>
      </c>
      <c r="P105" s="80">
        <f t="shared" si="98"/>
        <v>0</v>
      </c>
      <c r="Q105" s="80">
        <f t="shared" si="84"/>
        <v>0</v>
      </c>
      <c r="R105" s="79">
        <f t="shared" si="99"/>
        <v>65538.770053475935</v>
      </c>
      <c r="S105" s="81">
        <f t="shared" si="100"/>
        <v>1.5045631325407698</v>
      </c>
      <c r="T105" s="80">
        <f t="shared" si="101"/>
        <v>7.2059559710989571</v>
      </c>
      <c r="U105" s="83">
        <f>LOOKUP(N105,'weather data'!$B$7:$B$158,'weather data'!$C$7:$C$158)</f>
        <v>0</v>
      </c>
      <c r="V105" s="83">
        <f t="shared" si="102"/>
        <v>0</v>
      </c>
      <c r="W105" s="83">
        <f t="shared" si="103"/>
        <v>2.0960000000000005</v>
      </c>
      <c r="X105" s="75">
        <f>LOOKUP(N105,'weather data'!$B$7:$B$158,'weather data'!$D$7:$D$158)</f>
        <v>0.26</v>
      </c>
      <c r="Y105" s="165">
        <f t="shared" si="94"/>
        <v>0.5</v>
      </c>
      <c r="Z105" s="165">
        <f t="shared" si="85"/>
        <v>0.32500000000000001</v>
      </c>
      <c r="AA105" s="165">
        <f t="shared" si="95"/>
        <v>0.89999999999999991</v>
      </c>
      <c r="AB105" s="165">
        <f t="shared" si="86"/>
        <v>0.58499999999999996</v>
      </c>
      <c r="AC105" s="165">
        <f t="shared" si="93"/>
        <v>0.66666666666666785</v>
      </c>
      <c r="AD105" s="165">
        <f t="shared" si="87"/>
        <v>0.46666666666666745</v>
      </c>
      <c r="AE105" s="165">
        <f t="shared" si="92"/>
        <v>0.74999999999999978</v>
      </c>
      <c r="AF105" s="165">
        <f t="shared" si="88"/>
        <v>0.63749999999999984</v>
      </c>
      <c r="AG105" s="155">
        <f t="shared" si="89"/>
        <v>0.47824166666666673</v>
      </c>
      <c r="AH105" s="87">
        <f t="shared" si="104"/>
        <v>0.96514258728837787</v>
      </c>
      <c r="AI105" s="156">
        <f t="shared" si="105"/>
        <v>0.4615713995157727</v>
      </c>
      <c r="AJ105" s="82">
        <f t="shared" si="106"/>
        <v>0.12434283333333336</v>
      </c>
      <c r="AK105" s="82">
        <f t="shared" si="107"/>
        <v>0.12000856387410092</v>
      </c>
      <c r="AL105" s="82">
        <f t="shared" si="108"/>
        <v>12.295502933338064</v>
      </c>
      <c r="AM105" s="157">
        <v>1</v>
      </c>
      <c r="AN105" s="24">
        <f t="shared" si="77"/>
        <v>4.6399999999999997</v>
      </c>
      <c r="AO105" s="51"/>
      <c r="AP105" s="51">
        <f t="shared" si="109"/>
        <v>7.3311999999999999</v>
      </c>
      <c r="AQ105" s="51">
        <f t="shared" si="90"/>
        <v>186.21248</v>
      </c>
      <c r="AR105" s="24">
        <f t="shared" si="110"/>
        <v>2.7125439999999998</v>
      </c>
      <c r="AS105" s="37">
        <f t="shared" si="111"/>
        <v>4.6186559999999997</v>
      </c>
      <c r="AT105" s="24">
        <f t="shared" si="112"/>
        <v>2.8735383983650102</v>
      </c>
      <c r="AU105" s="24">
        <f t="shared" si="113"/>
        <v>2.9935469622391113</v>
      </c>
      <c r="AV105" s="24">
        <f t="shared" si="114"/>
        <v>4.3376530377608891</v>
      </c>
      <c r="AW105" s="24">
        <f t="shared" si="115"/>
        <v>0.96514258728837787</v>
      </c>
      <c r="AX105" s="24">
        <f t="shared" si="116"/>
        <v>0</v>
      </c>
      <c r="AY105" s="25">
        <f t="shared" si="117"/>
        <v>0</v>
      </c>
      <c r="AZ105" s="24">
        <f t="shared" si="118"/>
        <v>0</v>
      </c>
      <c r="BA105" s="48">
        <f t="shared" si="91"/>
        <v>0</v>
      </c>
      <c r="BB105" s="48">
        <f t="shared" si="119"/>
        <v>0</v>
      </c>
      <c r="BC105" s="24">
        <f t="shared" si="120"/>
        <v>0</v>
      </c>
      <c r="BD105" s="51">
        <f t="shared" si="121"/>
        <v>0</v>
      </c>
      <c r="BE105" s="86">
        <f t="shared" si="122"/>
        <v>9.3019559710989608</v>
      </c>
      <c r="BF105" s="30">
        <f t="shared" si="123"/>
        <v>0</v>
      </c>
      <c r="BG105" s="30">
        <f t="shared" si="124"/>
        <v>9.3019559710989608</v>
      </c>
    </row>
    <row r="106" spans="1:59" x14ac:dyDescent="0.25">
      <c r="A106" s="15">
        <v>42251</v>
      </c>
      <c r="B106">
        <v>0</v>
      </c>
      <c r="C106" s="54">
        <f t="shared" si="52"/>
        <v>0</v>
      </c>
      <c r="E106"/>
      <c r="G106" s="15"/>
      <c r="L106" s="78">
        <f t="shared" si="96"/>
        <v>0</v>
      </c>
      <c r="M106" s="64"/>
      <c r="N106" s="58">
        <v>42251</v>
      </c>
      <c r="O106" s="34">
        <f t="shared" si="97"/>
        <v>0</v>
      </c>
      <c r="P106" s="80">
        <f t="shared" si="98"/>
        <v>0</v>
      </c>
      <c r="Q106" s="80">
        <f t="shared" si="84"/>
        <v>0</v>
      </c>
      <c r="R106" s="79">
        <f t="shared" si="99"/>
        <v>65538.770053475935</v>
      </c>
      <c r="S106" s="81">
        <f t="shared" si="100"/>
        <v>1.5045631325407698</v>
      </c>
      <c r="T106" s="80">
        <f t="shared" si="101"/>
        <v>7.2059559710989571</v>
      </c>
      <c r="U106" s="83">
        <f>LOOKUP(N106,'weather data'!$B$7:$B$158,'weather data'!$C$7:$C$158)</f>
        <v>0</v>
      </c>
      <c r="V106" s="83">
        <f t="shared" si="102"/>
        <v>0</v>
      </c>
      <c r="W106" s="83">
        <f t="shared" si="103"/>
        <v>2.0960000000000005</v>
      </c>
      <c r="X106" s="75">
        <f>LOOKUP(N106,'weather data'!$B$7:$B$158,'weather data'!$D$7:$D$158)</f>
        <v>0.24</v>
      </c>
      <c r="Y106" s="165">
        <f t="shared" si="94"/>
        <v>0.46764705882352942</v>
      </c>
      <c r="Z106" s="165">
        <f t="shared" si="85"/>
        <v>0.3039705882352941</v>
      </c>
      <c r="AA106" s="165">
        <f t="shared" si="95"/>
        <v>0.8899999999999999</v>
      </c>
      <c r="AB106" s="165">
        <f t="shared" si="86"/>
        <v>0.5784999999999999</v>
      </c>
      <c r="AC106" s="165">
        <f t="shared" si="93"/>
        <v>0.65277777777777901</v>
      </c>
      <c r="AD106" s="165">
        <f t="shared" si="87"/>
        <v>0.45694444444444526</v>
      </c>
      <c r="AE106" s="165">
        <f t="shared" si="92"/>
        <v>0.74199999999999977</v>
      </c>
      <c r="AF106" s="165">
        <f t="shared" si="88"/>
        <v>0.63069999999999982</v>
      </c>
      <c r="AG106" s="155">
        <f t="shared" si="89"/>
        <v>0.46527871895424838</v>
      </c>
      <c r="AH106" s="87">
        <f t="shared" si="104"/>
        <v>0.93915914884349239</v>
      </c>
      <c r="AI106" s="156">
        <f t="shared" si="105"/>
        <v>0.43697076566806242</v>
      </c>
      <c r="AJ106" s="82">
        <f t="shared" si="106"/>
        <v>0.11166689254901961</v>
      </c>
      <c r="AK106" s="82">
        <f t="shared" si="107"/>
        <v>0.10487298376033498</v>
      </c>
      <c r="AL106" s="82">
        <f t="shared" si="108"/>
        <v>12.400375917098399</v>
      </c>
      <c r="AM106" s="157">
        <v>1</v>
      </c>
      <c r="AN106" s="24">
        <f t="shared" si="77"/>
        <v>4.6399999999999997</v>
      </c>
      <c r="AO106" s="51"/>
      <c r="AP106" s="51">
        <f t="shared" si="109"/>
        <v>7.3311999999999999</v>
      </c>
      <c r="AQ106" s="51">
        <f t="shared" si="90"/>
        <v>186.21248</v>
      </c>
      <c r="AR106" s="24">
        <f t="shared" si="110"/>
        <v>2.7125439999999998</v>
      </c>
      <c r="AS106" s="37">
        <f t="shared" si="111"/>
        <v>4.6186559999999997</v>
      </c>
      <c r="AT106" s="24">
        <f t="shared" si="112"/>
        <v>2.9935469622391113</v>
      </c>
      <c r="AU106" s="24">
        <f t="shared" si="113"/>
        <v>3.0984199459994461</v>
      </c>
      <c r="AV106" s="24">
        <f t="shared" si="114"/>
        <v>4.2327800540005533</v>
      </c>
      <c r="AW106" s="24">
        <f t="shared" si="115"/>
        <v>0.93915914884349239</v>
      </c>
      <c r="AX106" s="24">
        <f t="shared" si="116"/>
        <v>0</v>
      </c>
      <c r="AY106" s="25">
        <f t="shared" si="117"/>
        <v>0</v>
      </c>
      <c r="AZ106" s="24">
        <f t="shared" si="118"/>
        <v>0</v>
      </c>
      <c r="BA106" s="48">
        <f t="shared" si="91"/>
        <v>0</v>
      </c>
      <c r="BB106" s="48">
        <f t="shared" si="119"/>
        <v>0</v>
      </c>
      <c r="BC106" s="24">
        <f t="shared" si="120"/>
        <v>0</v>
      </c>
      <c r="BD106" s="51">
        <f t="shared" si="121"/>
        <v>0</v>
      </c>
      <c r="BE106" s="86">
        <f t="shared" si="122"/>
        <v>9.3019559710989608</v>
      </c>
      <c r="BF106" s="30">
        <f t="shared" si="123"/>
        <v>0</v>
      </c>
      <c r="BG106" s="30">
        <f t="shared" si="124"/>
        <v>9.3019559710989608</v>
      </c>
    </row>
    <row r="107" spans="1:59" x14ac:dyDescent="0.25">
      <c r="A107" s="15">
        <v>42252</v>
      </c>
      <c r="B107">
        <v>15220</v>
      </c>
      <c r="C107" s="54">
        <f t="shared" si="52"/>
        <v>2034.75935828877</v>
      </c>
      <c r="E107"/>
      <c r="G107" s="15"/>
      <c r="L107" s="78">
        <f t="shared" si="96"/>
        <v>2034.75935828877</v>
      </c>
      <c r="M107" s="64"/>
      <c r="N107" s="58">
        <v>42252</v>
      </c>
      <c r="O107" s="34">
        <f t="shared" si="97"/>
        <v>2034.75935828877</v>
      </c>
      <c r="P107" s="80">
        <f t="shared" si="98"/>
        <v>0.22372080427580138</v>
      </c>
      <c r="Q107" s="80">
        <f t="shared" si="84"/>
        <v>5.6825084286053551</v>
      </c>
      <c r="R107" s="79">
        <f t="shared" si="99"/>
        <v>67573.529411764699</v>
      </c>
      <c r="S107" s="81">
        <f t="shared" si="100"/>
        <v>1.5512747798844053</v>
      </c>
      <c r="T107" s="80">
        <f t="shared" si="101"/>
        <v>7.429676775374757</v>
      </c>
      <c r="U107" s="83">
        <f>LOOKUP(N107,'weather data'!$B$7:$B$158,'weather data'!$C$7:$C$158)</f>
        <v>0</v>
      </c>
      <c r="V107" s="83">
        <f t="shared" si="102"/>
        <v>0</v>
      </c>
      <c r="W107" s="83">
        <f t="shared" si="103"/>
        <v>2.0960000000000005</v>
      </c>
      <c r="X107" s="75">
        <f>LOOKUP(N107,'weather data'!$B$7:$B$158,'weather data'!$D$7:$D$158)</f>
        <v>0.18</v>
      </c>
      <c r="Y107" s="165">
        <f t="shared" si="94"/>
        <v>0.43529411764705883</v>
      </c>
      <c r="Z107" s="165">
        <f t="shared" si="85"/>
        <v>0.28294117647058825</v>
      </c>
      <c r="AA107" s="165">
        <f t="shared" si="95"/>
        <v>0.87999999999999989</v>
      </c>
      <c r="AB107" s="165">
        <f t="shared" si="86"/>
        <v>0.57199999999999995</v>
      </c>
      <c r="AC107" s="165">
        <f t="shared" si="93"/>
        <v>0.63888888888889017</v>
      </c>
      <c r="AD107" s="165">
        <f t="shared" si="87"/>
        <v>0.44722222222222308</v>
      </c>
      <c r="AE107" s="165">
        <f t="shared" si="92"/>
        <v>0.73399999999999976</v>
      </c>
      <c r="AF107" s="165">
        <f t="shared" si="88"/>
        <v>0.62389999999999979</v>
      </c>
      <c r="AG107" s="155">
        <f t="shared" si="89"/>
        <v>0.45231577124183009</v>
      </c>
      <c r="AH107" s="87">
        <f t="shared" si="104"/>
        <v>0.91645276331481573</v>
      </c>
      <c r="AI107" s="156">
        <f t="shared" si="105"/>
        <v>0.41452603844544722</v>
      </c>
      <c r="AJ107" s="82">
        <f t="shared" si="106"/>
        <v>8.1416838823529417E-2</v>
      </c>
      <c r="AK107" s="82">
        <f t="shared" si="107"/>
        <v>7.4614686920180501E-2</v>
      </c>
      <c r="AL107" s="82">
        <f t="shared" si="108"/>
        <v>12.474990604018579</v>
      </c>
      <c r="AM107" s="157">
        <v>1</v>
      </c>
      <c r="AN107" s="24">
        <f t="shared" si="77"/>
        <v>4.6399999999999997</v>
      </c>
      <c r="AO107" s="51"/>
      <c r="AP107" s="51">
        <f t="shared" si="109"/>
        <v>7.3311999999999999</v>
      </c>
      <c r="AQ107" s="51">
        <f t="shared" si="90"/>
        <v>186.21248</v>
      </c>
      <c r="AR107" s="24">
        <f t="shared" si="110"/>
        <v>2.7125439999999998</v>
      </c>
      <c r="AS107" s="37">
        <f t="shared" si="111"/>
        <v>4.6186559999999997</v>
      </c>
      <c r="AT107" s="24">
        <f t="shared" si="112"/>
        <v>3.0984199459994461</v>
      </c>
      <c r="AU107" s="24">
        <f t="shared" si="113"/>
        <v>2.9493138286438256</v>
      </c>
      <c r="AV107" s="24">
        <f t="shared" si="114"/>
        <v>4.3818861713561743</v>
      </c>
      <c r="AW107" s="24">
        <f t="shared" si="115"/>
        <v>0.91645276331481573</v>
      </c>
      <c r="AX107" s="24">
        <f t="shared" si="116"/>
        <v>0</v>
      </c>
      <c r="AY107" s="25">
        <f t="shared" si="117"/>
        <v>0</v>
      </c>
      <c r="AZ107" s="24">
        <f t="shared" si="118"/>
        <v>0</v>
      </c>
      <c r="BA107" s="48">
        <f t="shared" si="91"/>
        <v>0</v>
      </c>
      <c r="BB107" s="48">
        <f t="shared" si="119"/>
        <v>0</v>
      </c>
      <c r="BC107" s="24">
        <f t="shared" si="120"/>
        <v>0</v>
      </c>
      <c r="BD107" s="51">
        <f t="shared" si="121"/>
        <v>0</v>
      </c>
      <c r="BE107" s="86">
        <f t="shared" si="122"/>
        <v>9.5256767753747624</v>
      </c>
      <c r="BF107" s="30">
        <f t="shared" si="123"/>
        <v>0.22372080427580138</v>
      </c>
      <c r="BG107" s="30">
        <f t="shared" si="124"/>
        <v>9.5256767753747624</v>
      </c>
    </row>
    <row r="108" spans="1:59" x14ac:dyDescent="0.25">
      <c r="A108" s="15">
        <v>42253</v>
      </c>
      <c r="B108">
        <v>19320</v>
      </c>
      <c r="C108" s="54">
        <f t="shared" si="52"/>
        <v>2582.887700534759</v>
      </c>
      <c r="E108"/>
      <c r="G108" s="15"/>
      <c r="L108" s="78">
        <f t="shared" si="96"/>
        <v>2582.887700534759</v>
      </c>
      <c r="M108" s="64"/>
      <c r="N108" s="58">
        <v>42253</v>
      </c>
      <c r="O108" s="34">
        <f t="shared" si="97"/>
        <v>2582.887700534759</v>
      </c>
      <c r="P108" s="80">
        <f t="shared" si="98"/>
        <v>0.283987249580058</v>
      </c>
      <c r="Q108" s="80">
        <f t="shared" si="84"/>
        <v>7.2132761393334723</v>
      </c>
      <c r="R108" s="79">
        <f t="shared" si="99"/>
        <v>70156.417112299459</v>
      </c>
      <c r="S108" s="81">
        <f t="shared" si="100"/>
        <v>1.610569722504579</v>
      </c>
      <c r="T108" s="80">
        <f t="shared" si="101"/>
        <v>7.7136640249548165</v>
      </c>
      <c r="U108" s="83">
        <f>LOOKUP(N108,'weather data'!$B$7:$B$158,'weather data'!$C$7:$C$158)</f>
        <v>0</v>
      </c>
      <c r="V108" s="83">
        <f t="shared" si="102"/>
        <v>0</v>
      </c>
      <c r="W108" s="83">
        <f t="shared" si="103"/>
        <v>2.0960000000000005</v>
      </c>
      <c r="X108" s="75">
        <f>LOOKUP(N108,'weather data'!$B$7:$B$158,'weather data'!$D$7:$D$158)</f>
        <v>0.14000000000000001</v>
      </c>
      <c r="Y108" s="165">
        <f t="shared" si="94"/>
        <v>0.40294117647058825</v>
      </c>
      <c r="Z108" s="165">
        <f t="shared" si="85"/>
        <v>0.26191176470588234</v>
      </c>
      <c r="AA108" s="165">
        <f t="shared" si="95"/>
        <v>0.86999999999999988</v>
      </c>
      <c r="AB108" s="165">
        <f t="shared" si="86"/>
        <v>0.56549999999999989</v>
      </c>
      <c r="AC108" s="165">
        <f t="shared" si="93"/>
        <v>0.62500000000000133</v>
      </c>
      <c r="AD108" s="165">
        <f t="shared" si="87"/>
        <v>0.43750000000000089</v>
      </c>
      <c r="AE108" s="165">
        <f t="shared" si="92"/>
        <v>0.72599999999999976</v>
      </c>
      <c r="AF108" s="165">
        <f t="shared" si="88"/>
        <v>0.61709999999999976</v>
      </c>
      <c r="AG108" s="155">
        <f t="shared" si="89"/>
        <v>0.4393528235294118</v>
      </c>
      <c r="AH108" s="87">
        <f t="shared" si="104"/>
        <v>0.94873620623752331</v>
      </c>
      <c r="AI108" s="156">
        <f t="shared" si="105"/>
        <v>0.41682993099503823</v>
      </c>
      <c r="AJ108" s="82">
        <f t="shared" si="106"/>
        <v>6.1509395294117655E-2</v>
      </c>
      <c r="AK108" s="82">
        <f t="shared" si="107"/>
        <v>5.835619033930535E-2</v>
      </c>
      <c r="AL108" s="82">
        <f t="shared" si="108"/>
        <v>12.533346794357884</v>
      </c>
      <c r="AM108" s="157">
        <v>1</v>
      </c>
      <c r="AN108" s="24">
        <f t="shared" si="77"/>
        <v>4.6399999999999997</v>
      </c>
      <c r="AO108" s="51"/>
      <c r="AP108" s="51">
        <f t="shared" si="109"/>
        <v>7.3311999999999999</v>
      </c>
      <c r="AQ108" s="51">
        <f t="shared" si="90"/>
        <v>186.21248</v>
      </c>
      <c r="AR108" s="24">
        <f t="shared" si="110"/>
        <v>2.7125439999999998</v>
      </c>
      <c r="AS108" s="37">
        <f t="shared" si="111"/>
        <v>4.6186559999999997</v>
      </c>
      <c r="AT108" s="24">
        <f t="shared" si="112"/>
        <v>2.9493138286438256</v>
      </c>
      <c r="AU108" s="24">
        <f t="shared" si="113"/>
        <v>2.723682769403073</v>
      </c>
      <c r="AV108" s="24">
        <f t="shared" si="114"/>
        <v>4.607517230596927</v>
      </c>
      <c r="AW108" s="24">
        <f t="shared" si="115"/>
        <v>0.94873620623752331</v>
      </c>
      <c r="AX108" s="24">
        <f t="shared" si="116"/>
        <v>0</v>
      </c>
      <c r="AY108" s="25">
        <f t="shared" si="117"/>
        <v>0</v>
      </c>
      <c r="AZ108" s="24">
        <f t="shared" si="118"/>
        <v>0</v>
      </c>
      <c r="BA108" s="48">
        <f t="shared" si="91"/>
        <v>0</v>
      </c>
      <c r="BB108" s="48">
        <f t="shared" si="119"/>
        <v>0</v>
      </c>
      <c r="BC108" s="24">
        <f t="shared" si="120"/>
        <v>0</v>
      </c>
      <c r="BD108" s="51">
        <f t="shared" si="121"/>
        <v>0</v>
      </c>
      <c r="BE108" s="86">
        <f t="shared" si="122"/>
        <v>9.8096640249548201</v>
      </c>
      <c r="BF108" s="30">
        <f t="shared" si="123"/>
        <v>0.283987249580058</v>
      </c>
      <c r="BG108" s="30">
        <f t="shared" si="124"/>
        <v>9.8096640249548201</v>
      </c>
    </row>
    <row r="109" spans="1:59" x14ac:dyDescent="0.25">
      <c r="A109" s="15">
        <v>42254</v>
      </c>
      <c r="B109">
        <v>0</v>
      </c>
      <c r="C109" s="54">
        <f t="shared" ref="C109:C113" si="125">B109/7.48</f>
        <v>0</v>
      </c>
      <c r="E109"/>
      <c r="G109" s="15"/>
      <c r="L109" s="78">
        <f t="shared" si="96"/>
        <v>0</v>
      </c>
      <c r="M109" s="64"/>
      <c r="N109" s="58">
        <v>42254</v>
      </c>
      <c r="O109" s="34">
        <f t="shared" si="97"/>
        <v>0</v>
      </c>
      <c r="P109" s="80">
        <f t="shared" si="98"/>
        <v>0</v>
      </c>
      <c r="Q109" s="80">
        <f t="shared" si="84"/>
        <v>0</v>
      </c>
      <c r="R109" s="79">
        <f t="shared" si="99"/>
        <v>70156.417112299459</v>
      </c>
      <c r="S109" s="81">
        <f t="shared" si="100"/>
        <v>1.610569722504579</v>
      </c>
      <c r="T109" s="80">
        <f t="shared" si="101"/>
        <v>7.7136640249548165</v>
      </c>
      <c r="U109" s="83">
        <f>LOOKUP(N109,'weather data'!$B$7:$B$158,'weather data'!$C$7:$C$158)</f>
        <v>0</v>
      </c>
      <c r="V109" s="83">
        <f t="shared" si="102"/>
        <v>0</v>
      </c>
      <c r="W109" s="83">
        <f t="shared" si="103"/>
        <v>2.0960000000000005</v>
      </c>
      <c r="X109" s="75">
        <f>LOOKUP(N109,'weather data'!$B$7:$B$158,'weather data'!$D$7:$D$158)</f>
        <v>0.16</v>
      </c>
      <c r="Y109" s="165">
        <f t="shared" si="94"/>
        <v>0.37058823529411766</v>
      </c>
      <c r="Z109" s="165">
        <f t="shared" si="85"/>
        <v>0.24088235294117649</v>
      </c>
      <c r="AA109" s="165">
        <f t="shared" si="95"/>
        <v>0.85999999999999988</v>
      </c>
      <c r="AB109" s="165">
        <f t="shared" si="86"/>
        <v>0.55899999999999994</v>
      </c>
      <c r="AC109" s="165">
        <f t="shared" si="93"/>
        <v>0.61111111111111249</v>
      </c>
      <c r="AD109" s="165">
        <f t="shared" si="87"/>
        <v>0.4277777777777787</v>
      </c>
      <c r="AE109" s="165">
        <f t="shared" si="92"/>
        <v>0.71799999999999975</v>
      </c>
      <c r="AF109" s="165">
        <f t="shared" si="88"/>
        <v>0.61029999999999973</v>
      </c>
      <c r="AG109" s="155">
        <f t="shared" si="89"/>
        <v>0.4263898758169935</v>
      </c>
      <c r="AH109" s="87">
        <f t="shared" si="104"/>
        <v>0.9975883093689869</v>
      </c>
      <c r="AI109" s="156">
        <f t="shared" si="105"/>
        <v>0.42536155534832681</v>
      </c>
      <c r="AJ109" s="82">
        <f t="shared" si="106"/>
        <v>6.8222380130718963E-2</v>
      </c>
      <c r="AK109" s="82">
        <f t="shared" si="107"/>
        <v>6.8057848855732295E-2</v>
      </c>
      <c r="AL109" s="82">
        <f t="shared" si="108"/>
        <v>12.601404643213616</v>
      </c>
      <c r="AM109" s="157">
        <v>1</v>
      </c>
      <c r="AN109" s="24">
        <f t="shared" si="77"/>
        <v>4.6399999999999997</v>
      </c>
      <c r="AO109" s="51"/>
      <c r="AP109" s="51">
        <f t="shared" si="109"/>
        <v>7.3311999999999999</v>
      </c>
      <c r="AQ109" s="51">
        <f t="shared" si="90"/>
        <v>186.21248</v>
      </c>
      <c r="AR109" s="24">
        <f t="shared" si="110"/>
        <v>2.7125439999999998</v>
      </c>
      <c r="AS109" s="37">
        <f t="shared" si="111"/>
        <v>4.6186559999999997</v>
      </c>
      <c r="AT109" s="24">
        <f t="shared" si="112"/>
        <v>2.723682769403073</v>
      </c>
      <c r="AU109" s="24">
        <f t="shared" si="113"/>
        <v>2.7917406182588054</v>
      </c>
      <c r="AV109" s="24">
        <f t="shared" si="114"/>
        <v>4.5394593817411941</v>
      </c>
      <c r="AW109" s="24">
        <f t="shared" si="115"/>
        <v>0.9975883093689869</v>
      </c>
      <c r="AX109" s="24">
        <f t="shared" si="116"/>
        <v>0</v>
      </c>
      <c r="AY109" s="25">
        <f t="shared" si="117"/>
        <v>0</v>
      </c>
      <c r="AZ109" s="24">
        <f t="shared" si="118"/>
        <v>0</v>
      </c>
      <c r="BA109" s="48">
        <f t="shared" si="91"/>
        <v>0</v>
      </c>
      <c r="BB109" s="48">
        <f t="shared" si="119"/>
        <v>0</v>
      </c>
      <c r="BC109" s="24">
        <f t="shared" si="120"/>
        <v>0</v>
      </c>
      <c r="BD109" s="51">
        <f t="shared" si="121"/>
        <v>0</v>
      </c>
      <c r="BE109" s="86">
        <f t="shared" si="122"/>
        <v>9.8096640249548201</v>
      </c>
      <c r="BF109" s="30">
        <f t="shared" si="123"/>
        <v>0</v>
      </c>
      <c r="BG109" s="30">
        <f t="shared" si="124"/>
        <v>9.8096640249548201</v>
      </c>
    </row>
    <row r="110" spans="1:59" x14ac:dyDescent="0.25">
      <c r="A110" s="15">
        <v>42255</v>
      </c>
      <c r="B110">
        <v>0</v>
      </c>
      <c r="C110" s="54">
        <f t="shared" si="125"/>
        <v>0</v>
      </c>
      <c r="E110"/>
      <c r="G110" s="15"/>
      <c r="L110" s="78">
        <f t="shared" si="96"/>
        <v>0</v>
      </c>
      <c r="M110" s="64"/>
      <c r="N110" s="58">
        <v>42255</v>
      </c>
      <c r="O110" s="34">
        <f t="shared" si="97"/>
        <v>0</v>
      </c>
      <c r="P110" s="80">
        <f t="shared" si="98"/>
        <v>0</v>
      </c>
      <c r="Q110" s="80">
        <f t="shared" si="84"/>
        <v>0</v>
      </c>
      <c r="R110" s="79">
        <f t="shared" si="99"/>
        <v>70156.417112299459</v>
      </c>
      <c r="S110" s="81">
        <f t="shared" si="100"/>
        <v>1.610569722504579</v>
      </c>
      <c r="T110" s="80">
        <f t="shared" si="101"/>
        <v>7.7136640249548165</v>
      </c>
      <c r="U110" s="83">
        <f>LOOKUP(N110,'weather data'!$B$7:$B$158,'weather data'!$C$7:$C$158)</f>
        <v>0</v>
      </c>
      <c r="V110" s="83">
        <f t="shared" si="102"/>
        <v>0</v>
      </c>
      <c r="W110" s="83">
        <f t="shared" si="103"/>
        <v>2.0960000000000005</v>
      </c>
      <c r="X110" s="75">
        <f>LOOKUP(N110,'weather data'!$B$7:$B$158,'weather data'!$D$7:$D$158)</f>
        <v>0.16</v>
      </c>
      <c r="Y110" s="165">
        <f t="shared" si="94"/>
        <v>0.33823529411764708</v>
      </c>
      <c r="Z110" s="165">
        <f t="shared" si="85"/>
        <v>0.21985294117647061</v>
      </c>
      <c r="AA110" s="165">
        <f t="shared" si="95"/>
        <v>0.84999999999999987</v>
      </c>
      <c r="AB110" s="165">
        <f t="shared" si="86"/>
        <v>0.55249999999999988</v>
      </c>
      <c r="AC110" s="165">
        <f t="shared" si="93"/>
        <v>0.59722222222222365</v>
      </c>
      <c r="AD110" s="165">
        <f t="shared" si="87"/>
        <v>0.41805555555555651</v>
      </c>
      <c r="AE110" s="165">
        <f t="shared" si="92"/>
        <v>0.70999999999999974</v>
      </c>
      <c r="AF110" s="165">
        <f t="shared" si="88"/>
        <v>0.60349999999999981</v>
      </c>
      <c r="AG110" s="155">
        <f t="shared" si="89"/>
        <v>0.41342692810457515</v>
      </c>
      <c r="AH110" s="87">
        <f t="shared" si="104"/>
        <v>0.98285288658458103</v>
      </c>
      <c r="AI110" s="156">
        <f t="shared" si="105"/>
        <v>0.40633784967937775</v>
      </c>
      <c r="AJ110" s="82">
        <f t="shared" si="106"/>
        <v>6.614830849673202E-2</v>
      </c>
      <c r="AK110" s="82">
        <f t="shared" si="107"/>
        <v>6.5014055948700439E-2</v>
      </c>
      <c r="AL110" s="82">
        <f t="shared" si="108"/>
        <v>12.666418699162316</v>
      </c>
      <c r="AM110" s="157">
        <v>1</v>
      </c>
      <c r="AN110" s="24">
        <f t="shared" si="77"/>
        <v>4.6399999999999997</v>
      </c>
      <c r="AO110" s="51"/>
      <c r="AP110" s="51">
        <f t="shared" si="109"/>
        <v>7.3311999999999999</v>
      </c>
      <c r="AQ110" s="51">
        <f t="shared" si="90"/>
        <v>186.21248</v>
      </c>
      <c r="AR110" s="24">
        <f t="shared" si="110"/>
        <v>2.7125439999999998</v>
      </c>
      <c r="AS110" s="37">
        <f t="shared" si="111"/>
        <v>4.6186559999999997</v>
      </c>
      <c r="AT110" s="24">
        <f t="shared" si="112"/>
        <v>2.7917406182588054</v>
      </c>
      <c r="AU110" s="24">
        <f t="shared" si="113"/>
        <v>2.8567546742075058</v>
      </c>
      <c r="AV110" s="24">
        <f t="shared" si="114"/>
        <v>4.4744453257924945</v>
      </c>
      <c r="AW110" s="24">
        <f t="shared" si="115"/>
        <v>0.98285288658458114</v>
      </c>
      <c r="AX110" s="24">
        <f t="shared" si="116"/>
        <v>0</v>
      </c>
      <c r="AY110" s="25">
        <f t="shared" si="117"/>
        <v>0</v>
      </c>
      <c r="AZ110" s="24">
        <f t="shared" si="118"/>
        <v>0</v>
      </c>
      <c r="BA110" s="48">
        <f t="shared" si="91"/>
        <v>0</v>
      </c>
      <c r="BB110" s="48">
        <f t="shared" si="119"/>
        <v>0</v>
      </c>
      <c r="BC110" s="24">
        <f t="shared" si="120"/>
        <v>0</v>
      </c>
      <c r="BD110" s="51">
        <f t="shared" si="121"/>
        <v>0</v>
      </c>
      <c r="BE110" s="86">
        <f t="shared" si="122"/>
        <v>9.8096640249548201</v>
      </c>
      <c r="BF110" s="30">
        <f t="shared" si="123"/>
        <v>0</v>
      </c>
      <c r="BG110" s="30">
        <f t="shared" si="124"/>
        <v>9.8096640249548201</v>
      </c>
    </row>
    <row r="111" spans="1:59" x14ac:dyDescent="0.25">
      <c r="A111" s="15">
        <v>42256</v>
      </c>
      <c r="B111">
        <v>0</v>
      </c>
      <c r="C111" s="54">
        <f t="shared" si="125"/>
        <v>0</v>
      </c>
      <c r="E111"/>
      <c r="G111" s="15"/>
      <c r="L111" s="78">
        <f t="shared" si="96"/>
        <v>0</v>
      </c>
      <c r="M111" s="64"/>
      <c r="N111" s="58">
        <v>42256</v>
      </c>
      <c r="O111" s="34">
        <f t="shared" si="97"/>
        <v>0</v>
      </c>
      <c r="P111" s="80">
        <f t="shared" si="98"/>
        <v>0</v>
      </c>
      <c r="Q111" s="80">
        <f t="shared" si="84"/>
        <v>0</v>
      </c>
      <c r="R111" s="79">
        <f t="shared" si="99"/>
        <v>70156.417112299459</v>
      </c>
      <c r="S111" s="81">
        <f t="shared" si="100"/>
        <v>1.610569722504579</v>
      </c>
      <c r="T111" s="80">
        <f t="shared" si="101"/>
        <v>7.7136640249548165</v>
      </c>
      <c r="U111" s="83">
        <f>LOOKUP(N111,'weather data'!$B$7:$B$158,'weather data'!$C$7:$C$158)</f>
        <v>0</v>
      </c>
      <c r="V111" s="83">
        <f t="shared" si="102"/>
        <v>0</v>
      </c>
      <c r="W111" s="83">
        <f t="shared" si="103"/>
        <v>2.0960000000000005</v>
      </c>
      <c r="X111" s="75">
        <f>LOOKUP(N111,'weather data'!$B$7:$B$158,'weather data'!$D$7:$D$158)</f>
        <v>0.17</v>
      </c>
      <c r="Y111" s="165">
        <f t="shared" si="94"/>
        <v>0.30588235294117649</v>
      </c>
      <c r="Z111" s="165">
        <f t="shared" si="85"/>
        <v>0.19882352941176473</v>
      </c>
      <c r="AA111" s="165">
        <f t="shared" si="95"/>
        <v>0.83999999999999986</v>
      </c>
      <c r="AB111" s="165">
        <f t="shared" si="86"/>
        <v>0.54599999999999993</v>
      </c>
      <c r="AC111" s="165">
        <f t="shared" si="93"/>
        <v>0.58333333333333481</v>
      </c>
      <c r="AD111" s="165">
        <f t="shared" si="87"/>
        <v>0.40833333333333433</v>
      </c>
      <c r="AE111" s="165">
        <f t="shared" si="92"/>
        <v>0.70199999999999974</v>
      </c>
      <c r="AF111" s="165">
        <f t="shared" si="88"/>
        <v>0.59669999999999979</v>
      </c>
      <c r="AG111" s="155">
        <f t="shared" si="89"/>
        <v>0.40046398039215692</v>
      </c>
      <c r="AH111" s="87">
        <f t="shared" si="104"/>
        <v>0.96877648514903358</v>
      </c>
      <c r="AI111" s="156">
        <f t="shared" si="105"/>
        <v>0.38796008735310528</v>
      </c>
      <c r="AJ111" s="82">
        <f t="shared" si="106"/>
        <v>6.8078876666666677E-2</v>
      </c>
      <c r="AK111" s="82">
        <f t="shared" si="107"/>
        <v>6.5953214850027905E-2</v>
      </c>
      <c r="AL111" s="82">
        <f t="shared" si="108"/>
        <v>12.732371914012344</v>
      </c>
      <c r="AM111" s="157">
        <v>1</v>
      </c>
      <c r="AN111" s="24">
        <f t="shared" si="77"/>
        <v>4.6399999999999997</v>
      </c>
      <c r="AO111" s="51"/>
      <c r="AP111" s="51">
        <f t="shared" si="109"/>
        <v>7.3311999999999999</v>
      </c>
      <c r="AQ111" s="51">
        <f t="shared" si="90"/>
        <v>186.21248</v>
      </c>
      <c r="AR111" s="24">
        <f t="shared" si="110"/>
        <v>2.7125439999999998</v>
      </c>
      <c r="AS111" s="37">
        <f t="shared" si="111"/>
        <v>4.6186559999999997</v>
      </c>
      <c r="AT111" s="24">
        <f t="shared" si="112"/>
        <v>2.8567546742075058</v>
      </c>
      <c r="AU111" s="24">
        <f t="shared" si="113"/>
        <v>2.9227078890575338</v>
      </c>
      <c r="AV111" s="24">
        <f t="shared" si="114"/>
        <v>4.4084921109424666</v>
      </c>
      <c r="AW111" s="24">
        <f t="shared" si="115"/>
        <v>0.96877648514903369</v>
      </c>
      <c r="AX111" s="24">
        <f t="shared" si="116"/>
        <v>0</v>
      </c>
      <c r="AY111" s="25">
        <f t="shared" si="117"/>
        <v>0</v>
      </c>
      <c r="AZ111" s="24">
        <f t="shared" si="118"/>
        <v>0</v>
      </c>
      <c r="BA111" s="48">
        <f t="shared" si="91"/>
        <v>0</v>
      </c>
      <c r="BB111" s="48">
        <f t="shared" si="119"/>
        <v>0</v>
      </c>
      <c r="BC111" s="24">
        <f t="shared" si="120"/>
        <v>0</v>
      </c>
      <c r="BD111" s="51">
        <f t="shared" si="121"/>
        <v>0</v>
      </c>
      <c r="BE111" s="86">
        <f t="shared" si="122"/>
        <v>9.8096640249548201</v>
      </c>
      <c r="BF111" s="30">
        <f t="shared" si="123"/>
        <v>0</v>
      </c>
      <c r="BG111" s="30">
        <f t="shared" si="124"/>
        <v>9.8096640249548201</v>
      </c>
    </row>
    <row r="112" spans="1:59" x14ac:dyDescent="0.25">
      <c r="A112" s="15">
        <v>42257</v>
      </c>
      <c r="B112">
        <v>0</v>
      </c>
      <c r="C112" s="54">
        <f t="shared" si="125"/>
        <v>0</v>
      </c>
      <c r="E112"/>
      <c r="G112" s="15"/>
      <c r="L112" s="78">
        <f t="shared" si="96"/>
        <v>0</v>
      </c>
      <c r="M112" s="64"/>
      <c r="N112" s="58">
        <v>42257</v>
      </c>
      <c r="O112" s="34">
        <f t="shared" si="97"/>
        <v>0</v>
      </c>
      <c r="P112" s="80">
        <f t="shared" si="98"/>
        <v>0</v>
      </c>
      <c r="Q112" s="80">
        <f t="shared" si="84"/>
        <v>0</v>
      </c>
      <c r="R112" s="79">
        <f t="shared" si="99"/>
        <v>70156.417112299459</v>
      </c>
      <c r="S112" s="81">
        <f t="shared" si="100"/>
        <v>1.610569722504579</v>
      </c>
      <c r="T112" s="80">
        <f t="shared" si="101"/>
        <v>7.7136640249548165</v>
      </c>
      <c r="U112" s="83">
        <f>LOOKUP(N112,'weather data'!$B$7:$B$158,'weather data'!$C$7:$C$158)</f>
        <v>0</v>
      </c>
      <c r="V112" s="83">
        <f t="shared" si="102"/>
        <v>0</v>
      </c>
      <c r="W112" s="83">
        <f t="shared" si="103"/>
        <v>2.0960000000000005</v>
      </c>
      <c r="X112" s="75">
        <f>LOOKUP(N112,'weather data'!$B$7:$B$158,'weather data'!$D$7:$D$158)</f>
        <v>0.16</v>
      </c>
      <c r="Y112" s="165">
        <f t="shared" si="94"/>
        <v>0.27352941176470591</v>
      </c>
      <c r="Z112" s="165">
        <f t="shared" si="85"/>
        <v>0.17779411764705885</v>
      </c>
      <c r="AA112" s="165">
        <f t="shared" si="95"/>
        <v>0.82999999999999985</v>
      </c>
      <c r="AB112" s="165">
        <f t="shared" si="86"/>
        <v>0.53949999999999987</v>
      </c>
      <c r="AC112" s="165">
        <f t="shared" si="93"/>
        <v>0.56944444444444597</v>
      </c>
      <c r="AD112" s="165">
        <f t="shared" si="87"/>
        <v>0.39861111111111214</v>
      </c>
      <c r="AE112" s="165">
        <f t="shared" si="92"/>
        <v>0.69399999999999973</v>
      </c>
      <c r="AF112" s="165">
        <f t="shared" si="88"/>
        <v>0.58989999999999976</v>
      </c>
      <c r="AG112" s="155">
        <f t="shared" si="89"/>
        <v>0.38750103267973862</v>
      </c>
      <c r="AH112" s="87">
        <f t="shared" si="104"/>
        <v>0.95449674341247037</v>
      </c>
      <c r="AI112" s="156">
        <f t="shared" si="105"/>
        <v>0.36986847376177978</v>
      </c>
      <c r="AJ112" s="82">
        <f t="shared" si="106"/>
        <v>6.2000165228758182E-2</v>
      </c>
      <c r="AK112" s="82">
        <f t="shared" si="107"/>
        <v>5.9178955801884765E-2</v>
      </c>
      <c r="AL112" s="82">
        <f t="shared" si="108"/>
        <v>12.791550869814229</v>
      </c>
      <c r="AM112" s="157">
        <v>1</v>
      </c>
      <c r="AN112" s="24">
        <f t="shared" si="77"/>
        <v>4.6399999999999997</v>
      </c>
      <c r="AO112" s="51"/>
      <c r="AP112" s="51">
        <f t="shared" si="109"/>
        <v>7.3311999999999999</v>
      </c>
      <c r="AQ112" s="51">
        <f t="shared" si="90"/>
        <v>186.21248</v>
      </c>
      <c r="AR112" s="24">
        <f t="shared" si="110"/>
        <v>2.7125439999999998</v>
      </c>
      <c r="AS112" s="37">
        <f t="shared" si="111"/>
        <v>4.6186559999999997</v>
      </c>
      <c r="AT112" s="24">
        <f t="shared" si="112"/>
        <v>2.9227078890575338</v>
      </c>
      <c r="AU112" s="24">
        <f t="shared" si="113"/>
        <v>2.9818868448594187</v>
      </c>
      <c r="AV112" s="24">
        <f t="shared" si="114"/>
        <v>4.3493131551405817</v>
      </c>
      <c r="AW112" s="24">
        <f t="shared" si="115"/>
        <v>0.95449674341247037</v>
      </c>
      <c r="AX112" s="24">
        <f t="shared" si="116"/>
        <v>0</v>
      </c>
      <c r="AY112" s="25">
        <f t="shared" si="117"/>
        <v>0</v>
      </c>
      <c r="AZ112" s="24">
        <f t="shared" si="118"/>
        <v>0</v>
      </c>
      <c r="BA112" s="48">
        <f t="shared" si="91"/>
        <v>0</v>
      </c>
      <c r="BB112" s="48">
        <f t="shared" si="119"/>
        <v>0</v>
      </c>
      <c r="BC112" s="24">
        <f t="shared" si="120"/>
        <v>0</v>
      </c>
      <c r="BD112" s="51">
        <f t="shared" si="121"/>
        <v>0</v>
      </c>
      <c r="BE112" s="86">
        <f t="shared" si="122"/>
        <v>9.8096640249548201</v>
      </c>
      <c r="BF112" s="30">
        <f t="shared" si="123"/>
        <v>0</v>
      </c>
      <c r="BG112" s="30">
        <f t="shared" si="124"/>
        <v>9.8096640249548201</v>
      </c>
    </row>
    <row r="113" spans="1:59" x14ac:dyDescent="0.25">
      <c r="A113" s="15">
        <v>42258</v>
      </c>
      <c r="B113">
        <v>0</v>
      </c>
      <c r="C113" s="54">
        <f t="shared" si="125"/>
        <v>0</v>
      </c>
      <c r="E113"/>
      <c r="G113" s="15"/>
      <c r="L113" s="78">
        <f t="shared" si="96"/>
        <v>0</v>
      </c>
      <c r="M113" s="64"/>
      <c r="N113" s="58">
        <v>42258</v>
      </c>
      <c r="O113" s="34">
        <f t="shared" si="97"/>
        <v>0</v>
      </c>
      <c r="P113" s="80">
        <f t="shared" si="98"/>
        <v>0</v>
      </c>
      <c r="Q113" s="80">
        <f t="shared" si="84"/>
        <v>0</v>
      </c>
      <c r="R113" s="79">
        <f t="shared" si="99"/>
        <v>70156.417112299459</v>
      </c>
      <c r="S113" s="81">
        <f t="shared" si="100"/>
        <v>1.610569722504579</v>
      </c>
      <c r="T113" s="80">
        <f t="shared" si="101"/>
        <v>7.7136640249548165</v>
      </c>
      <c r="U113" s="83">
        <f>LOOKUP(N113,'weather data'!$B$7:$B$158,'weather data'!$C$7:$C$158)</f>
        <v>0</v>
      </c>
      <c r="V113" s="83">
        <f t="shared" si="102"/>
        <v>0</v>
      </c>
      <c r="W113" s="83">
        <f t="shared" si="103"/>
        <v>2.0960000000000005</v>
      </c>
      <c r="X113" s="75">
        <f>LOOKUP(N113,'weather data'!$B$7:$B$158,'weather data'!$D$7:$D$158)</f>
        <v>0.16</v>
      </c>
      <c r="Y113" s="165">
        <f t="shared" si="94"/>
        <v>0.24117647058823533</v>
      </c>
      <c r="Z113" s="165">
        <f t="shared" si="85"/>
        <v>0.15676470588235297</v>
      </c>
      <c r="AA113" s="165">
        <f t="shared" si="95"/>
        <v>0.81999999999999984</v>
      </c>
      <c r="AB113" s="165">
        <f t="shared" si="86"/>
        <v>0.53299999999999992</v>
      </c>
      <c r="AC113" s="165">
        <f t="shared" si="93"/>
        <v>0.55555555555555713</v>
      </c>
      <c r="AD113" s="165">
        <f t="shared" si="87"/>
        <v>0.38888888888888995</v>
      </c>
      <c r="AE113" s="165">
        <f t="shared" si="92"/>
        <v>0.68599999999999972</v>
      </c>
      <c r="AF113" s="165">
        <f t="shared" si="88"/>
        <v>0.58309999999999973</v>
      </c>
      <c r="AG113" s="155">
        <f t="shared" si="89"/>
        <v>0.37453808496732033</v>
      </c>
      <c r="AH113" s="87">
        <f t="shared" si="104"/>
        <v>0.94168371819433661</v>
      </c>
      <c r="AI113" s="156">
        <f t="shared" si="105"/>
        <v>0.35269641645741256</v>
      </c>
      <c r="AJ113" s="82">
        <f t="shared" si="106"/>
        <v>5.9926093594771253E-2</v>
      </c>
      <c r="AK113" s="82">
        <f t="shared" si="107"/>
        <v>5.643142663318601E-2</v>
      </c>
      <c r="AL113" s="82">
        <f t="shared" si="108"/>
        <v>12.847982296447414</v>
      </c>
      <c r="AM113" s="157">
        <v>1</v>
      </c>
      <c r="AN113" s="24">
        <f t="shared" si="77"/>
        <v>4.6399999999999997</v>
      </c>
      <c r="AO113" s="51"/>
      <c r="AP113" s="51">
        <f t="shared" si="109"/>
        <v>7.3311999999999999</v>
      </c>
      <c r="AQ113" s="51">
        <f t="shared" si="90"/>
        <v>186.21248</v>
      </c>
      <c r="AR113" s="24">
        <f t="shared" si="110"/>
        <v>2.7125439999999998</v>
      </c>
      <c r="AS113" s="37">
        <f t="shared" si="111"/>
        <v>4.6186559999999997</v>
      </c>
      <c r="AT113" s="24">
        <f t="shared" si="112"/>
        <v>2.9818868448594187</v>
      </c>
      <c r="AU113" s="24">
        <f t="shared" si="113"/>
        <v>3.0383182714926047</v>
      </c>
      <c r="AV113" s="24">
        <f t="shared" si="114"/>
        <v>4.2928817285073952</v>
      </c>
      <c r="AW113" s="24">
        <f t="shared" si="115"/>
        <v>0.94168371819433661</v>
      </c>
      <c r="AX113" s="24">
        <f t="shared" si="116"/>
        <v>0</v>
      </c>
      <c r="AY113" s="25">
        <f t="shared" si="117"/>
        <v>0</v>
      </c>
      <c r="AZ113" s="24">
        <f t="shared" si="118"/>
        <v>0</v>
      </c>
      <c r="BA113" s="48">
        <f t="shared" si="91"/>
        <v>0</v>
      </c>
      <c r="BB113" s="48">
        <f t="shared" si="119"/>
        <v>0</v>
      </c>
      <c r="BC113" s="24">
        <f t="shared" si="120"/>
        <v>0</v>
      </c>
      <c r="BD113" s="51">
        <f t="shared" si="121"/>
        <v>0</v>
      </c>
      <c r="BE113" s="86">
        <f t="shared" si="122"/>
        <v>9.8096640249548201</v>
      </c>
      <c r="BF113" s="30">
        <f t="shared" si="123"/>
        <v>0</v>
      </c>
      <c r="BG113" s="30">
        <f t="shared" si="124"/>
        <v>9.8096640249548201</v>
      </c>
    </row>
    <row r="114" spans="1:59" x14ac:dyDescent="0.25">
      <c r="E114" s="145"/>
      <c r="L114" s="85"/>
      <c r="M114" s="55"/>
      <c r="N114" s="58"/>
      <c r="O114" s="34"/>
      <c r="P114" s="34"/>
      <c r="Q114" s="34"/>
      <c r="R114" s="34"/>
      <c r="S114" s="34"/>
      <c r="T114" s="34"/>
      <c r="U114" s="35"/>
      <c r="V114" s="36"/>
      <c r="W114" s="35"/>
      <c r="X114" s="69"/>
      <c r="Y114" s="66"/>
      <c r="Z114" s="66"/>
      <c r="AA114" s="66"/>
      <c r="AB114" s="66"/>
      <c r="AC114" s="66"/>
      <c r="AD114" s="66"/>
      <c r="AE114" s="66"/>
      <c r="AF114" s="66"/>
      <c r="AG114" s="151"/>
      <c r="AH114" s="153"/>
      <c r="AI114" s="66"/>
      <c r="AJ114" s="18"/>
      <c r="AK114" s="18"/>
      <c r="AL114" s="18"/>
      <c r="AM114" s="135"/>
      <c r="AN114" s="135"/>
      <c r="AO114" s="136"/>
      <c r="AP114" s="52"/>
      <c r="AQ114" s="52"/>
      <c r="AR114" s="38"/>
      <c r="AS114" s="38"/>
      <c r="AT114" s="38"/>
      <c r="AU114" s="38"/>
      <c r="AV114" s="38"/>
      <c r="AW114" s="37"/>
      <c r="AX114" s="38"/>
      <c r="AY114" s="39"/>
      <c r="AZ114" s="24"/>
      <c r="BA114" s="49"/>
      <c r="BB114" s="49"/>
      <c r="BC114" s="24"/>
      <c r="BD114" s="52"/>
      <c r="BE114" s="29"/>
      <c r="BF114" s="30"/>
      <c r="BG114" s="30"/>
    </row>
    <row r="115" spans="1:59" ht="90" x14ac:dyDescent="0.25">
      <c r="A115" t="s">
        <v>340</v>
      </c>
      <c r="B115">
        <f>SUM(B11:B112)</f>
        <v>524770</v>
      </c>
      <c r="C115">
        <f>SUM(C11:C112)</f>
        <v>70156.417112299459</v>
      </c>
      <c r="D115" s="54"/>
      <c r="E115" s="54"/>
      <c r="L115" s="84" t="s">
        <v>218</v>
      </c>
      <c r="M115" s="59" t="s">
        <v>219</v>
      </c>
      <c r="N115" s="57" t="s">
        <v>1</v>
      </c>
      <c r="O115" s="31" t="s">
        <v>177</v>
      </c>
      <c r="P115" s="31" t="s">
        <v>0</v>
      </c>
      <c r="Q115" s="31"/>
      <c r="R115" s="31" t="s">
        <v>164</v>
      </c>
      <c r="S115" s="31" t="s">
        <v>162</v>
      </c>
      <c r="T115" s="31" t="s">
        <v>163</v>
      </c>
      <c r="U115" s="32" t="s">
        <v>167</v>
      </c>
      <c r="V115" s="33" t="s">
        <v>166</v>
      </c>
      <c r="W115" s="32" t="s">
        <v>170</v>
      </c>
      <c r="X115" s="68" t="s">
        <v>171</v>
      </c>
      <c r="Y115" s="65" t="s">
        <v>168</v>
      </c>
      <c r="Z115" s="65"/>
      <c r="AA115" s="65" t="s">
        <v>281</v>
      </c>
      <c r="AB115" s="65"/>
      <c r="AC115" s="65" t="s">
        <v>279</v>
      </c>
      <c r="AD115" s="65"/>
      <c r="AE115" s="65" t="s">
        <v>285</v>
      </c>
      <c r="AF115" s="65"/>
      <c r="AG115" s="150"/>
      <c r="AH115" s="152" t="s">
        <v>205</v>
      </c>
      <c r="AI115" s="65" t="s">
        <v>273</v>
      </c>
      <c r="AJ115" s="19" t="s">
        <v>204</v>
      </c>
      <c r="AK115" s="19" t="s">
        <v>209</v>
      </c>
      <c r="AL115" s="19" t="s">
        <v>172</v>
      </c>
      <c r="AM115" s="53" t="s">
        <v>327</v>
      </c>
      <c r="AN115" s="53" t="s">
        <v>326</v>
      </c>
      <c r="AO115" s="137"/>
      <c r="AP115" s="50" t="s">
        <v>202</v>
      </c>
      <c r="AQ115" s="50"/>
      <c r="AR115" s="26" t="s">
        <v>203</v>
      </c>
      <c r="AS115" s="26" t="s">
        <v>210</v>
      </c>
      <c r="AT115" s="53" t="s">
        <v>206</v>
      </c>
      <c r="AU115" s="53" t="s">
        <v>207</v>
      </c>
      <c r="AV115" s="53" t="s">
        <v>208</v>
      </c>
      <c r="AW115" s="26" t="s">
        <v>178</v>
      </c>
      <c r="AX115" s="26" t="s">
        <v>179</v>
      </c>
      <c r="AY115" s="27" t="s">
        <v>180</v>
      </c>
      <c r="AZ115" s="53" t="s">
        <v>181</v>
      </c>
      <c r="BA115" s="176"/>
      <c r="BB115" s="47" t="s">
        <v>182</v>
      </c>
      <c r="BC115" s="53" t="s">
        <v>183</v>
      </c>
      <c r="BD115" s="50" t="s">
        <v>184</v>
      </c>
      <c r="BE115" s="28" t="s">
        <v>185</v>
      </c>
      <c r="BF115" s="23" t="s">
        <v>186</v>
      </c>
      <c r="BG115" s="23" t="s">
        <v>187</v>
      </c>
    </row>
    <row r="116" spans="1:59" s="40" customFormat="1" x14ac:dyDescent="0.25">
      <c r="A116"/>
      <c r="B116"/>
      <c r="C116"/>
      <c r="D116"/>
      <c r="E116" s="145"/>
      <c r="F116"/>
      <c r="G116"/>
      <c r="H116"/>
      <c r="I116"/>
      <c r="L116" s="60">
        <f>SUM(L11:L113)</f>
        <v>70156.417112299459</v>
      </c>
      <c r="M116"/>
      <c r="O116" s="60">
        <f>SUM(O11:O113)</f>
        <v>70156.417112299459</v>
      </c>
      <c r="P116" s="46">
        <f>SUM(P11:P113)</f>
        <v>7.7136640249548165</v>
      </c>
      <c r="Q116" s="46"/>
      <c r="S116" s="76">
        <f>S113</f>
        <v>1.610569722504579</v>
      </c>
      <c r="T116" s="46">
        <f>T113</f>
        <v>7.7136640249548165</v>
      </c>
      <c r="W116" s="46">
        <f>W113</f>
        <v>2.0960000000000005</v>
      </c>
      <c r="AL116" s="46">
        <f>AL113</f>
        <v>12.847982296447414</v>
      </c>
      <c r="AM116" s="46"/>
      <c r="AN116" s="46"/>
      <c r="AO116" s="46"/>
      <c r="AT116"/>
      <c r="AU116"/>
      <c r="AV116"/>
      <c r="AW116" s="46">
        <f>AVERAGE(AW11:AW113)</f>
        <v>0.98834792439425845</v>
      </c>
      <c r="AY116" s="46">
        <f>AY113</f>
        <v>0</v>
      </c>
      <c r="AZ116" s="46"/>
      <c r="BA116" s="46"/>
      <c r="BB116" s="46">
        <f t="shared" ref="BB116:BG116" si="126">BB113</f>
        <v>0</v>
      </c>
      <c r="BC116" s="46"/>
      <c r="BD116" s="46">
        <f t="shared" si="126"/>
        <v>0</v>
      </c>
      <c r="BE116" s="46">
        <f t="shared" si="126"/>
        <v>9.8096640249548201</v>
      </c>
      <c r="BF116" s="46"/>
      <c r="BG116" s="46">
        <f t="shared" si="126"/>
        <v>9.8096640249548201</v>
      </c>
    </row>
    <row r="117" spans="1:59" x14ac:dyDescent="0.25">
      <c r="E117" s="145"/>
    </row>
    <row r="118" spans="1:59" x14ac:dyDescent="0.25">
      <c r="E118" s="145"/>
      <c r="N118" s="41" t="s">
        <v>189</v>
      </c>
      <c r="R118" s="41" t="s">
        <v>196</v>
      </c>
    </row>
    <row r="119" spans="1:59" x14ac:dyDescent="0.25">
      <c r="E119" s="145"/>
      <c r="N119" t="s">
        <v>190</v>
      </c>
      <c r="R119" t="s">
        <v>175</v>
      </c>
      <c r="T119" s="1">
        <f>AV10</f>
        <v>0.39500000000000002</v>
      </c>
      <c r="V119" s="41" t="s">
        <v>199</v>
      </c>
    </row>
    <row r="120" spans="1:59" ht="15.75" thickBot="1" x14ac:dyDescent="0.3">
      <c r="E120" s="145"/>
      <c r="N120" t="s">
        <v>191</v>
      </c>
      <c r="R120" t="s">
        <v>197</v>
      </c>
      <c r="T120" s="1">
        <f>AV113</f>
        <v>4.2928817285073952</v>
      </c>
      <c r="V120" t="s">
        <v>200</v>
      </c>
    </row>
    <row r="121" spans="1:59" ht="15.75" thickBot="1" x14ac:dyDescent="0.3">
      <c r="E121" s="145"/>
      <c r="N121" t="s">
        <v>193</v>
      </c>
      <c r="O121" t="s">
        <v>346</v>
      </c>
      <c r="R121" s="42" t="s">
        <v>198</v>
      </c>
      <c r="S121" s="43"/>
      <c r="T121" s="44">
        <f>T120-T119</f>
        <v>3.8978817285073952</v>
      </c>
      <c r="U121" s="88" t="s">
        <v>277</v>
      </c>
      <c r="V121" s="77">
        <f>W116+T116-AL116-AY116</f>
        <v>-3.0383182714925976</v>
      </c>
    </row>
    <row r="122" spans="1:59" x14ac:dyDescent="0.25">
      <c r="E122" s="145"/>
      <c r="N122" t="s">
        <v>192</v>
      </c>
      <c r="O122">
        <v>1.1000000000000001</v>
      </c>
    </row>
    <row r="123" spans="1:59" ht="15.75" thickBot="1" x14ac:dyDescent="0.3">
      <c r="E123" s="145"/>
      <c r="N123" t="s">
        <v>194</v>
      </c>
      <c r="O123" s="1">
        <f>AW116</f>
        <v>0.98834792439425845</v>
      </c>
      <c r="R123" s="40" t="s">
        <v>333</v>
      </c>
    </row>
    <row r="124" spans="1:59" ht="15.75" thickBot="1" x14ac:dyDescent="0.3">
      <c r="E124" s="145"/>
      <c r="N124" s="43" t="s">
        <v>195</v>
      </c>
      <c r="O124" s="45">
        <f>1-O122*(1-O123)</f>
        <v>0.9871827168336843</v>
      </c>
      <c r="R124" t="s">
        <v>334</v>
      </c>
      <c r="T124" s="1">
        <f>AP113</f>
        <v>7.3311999999999999</v>
      </c>
    </row>
    <row r="125" spans="1:59" ht="15.75" thickBot="1" x14ac:dyDescent="0.3">
      <c r="E125" s="145"/>
      <c r="R125" t="s">
        <v>335</v>
      </c>
      <c r="T125" s="1">
        <f>AV113</f>
        <v>4.2928817285073952</v>
      </c>
    </row>
    <row r="126" spans="1:59" ht="15.75" thickBot="1" x14ac:dyDescent="0.3">
      <c r="E126" s="145"/>
      <c r="R126" s="42" t="s">
        <v>198</v>
      </c>
      <c r="S126" s="138"/>
      <c r="T126" s="44">
        <f>T125-T124</f>
        <v>-3.0383182714926047</v>
      </c>
      <c r="U126" s="88" t="s">
        <v>277</v>
      </c>
      <c r="V126" s="77">
        <f>V121</f>
        <v>-3.0383182714925976</v>
      </c>
    </row>
    <row r="127" spans="1:59" x14ac:dyDescent="0.25">
      <c r="E127" s="145"/>
      <c r="O127" t="s">
        <v>201</v>
      </c>
    </row>
    <row r="128" spans="1:59" x14ac:dyDescent="0.25">
      <c r="E128" s="145"/>
      <c r="O128" t="s">
        <v>222</v>
      </c>
    </row>
    <row r="129" spans="5:15" x14ac:dyDescent="0.25">
      <c r="E129" s="145"/>
      <c r="O129" t="s">
        <v>221</v>
      </c>
    </row>
    <row r="130" spans="5:15" x14ac:dyDescent="0.25">
      <c r="E130" s="145"/>
    </row>
    <row r="131" spans="5:15" x14ac:dyDescent="0.25">
      <c r="E131" s="145"/>
    </row>
    <row r="132" spans="5:15" x14ac:dyDescent="0.25">
      <c r="E132" s="145"/>
    </row>
    <row r="133" spans="5:15" x14ac:dyDescent="0.25">
      <c r="E133" s="145"/>
    </row>
    <row r="134" spans="5:15" x14ac:dyDescent="0.25">
      <c r="E134" s="145"/>
    </row>
    <row r="135" spans="5:15" x14ac:dyDescent="0.25">
      <c r="E135" s="145"/>
    </row>
    <row r="136" spans="5:15" x14ac:dyDescent="0.25">
      <c r="E136" s="145"/>
    </row>
    <row r="137" spans="5:15" x14ac:dyDescent="0.25">
      <c r="E137" s="145"/>
    </row>
    <row r="138" spans="5:15" x14ac:dyDescent="0.25">
      <c r="E138" s="145"/>
    </row>
    <row r="139" spans="5:15" x14ac:dyDescent="0.25">
      <c r="E139" s="145"/>
    </row>
    <row r="140" spans="5:15" x14ac:dyDescent="0.25">
      <c r="E140" s="145"/>
    </row>
    <row r="141" spans="5:15" x14ac:dyDescent="0.25">
      <c r="E141" s="145"/>
    </row>
    <row r="142" spans="5:15" x14ac:dyDescent="0.25">
      <c r="E142" s="145"/>
    </row>
    <row r="143" spans="5:15" x14ac:dyDescent="0.25">
      <c r="E143" s="145"/>
    </row>
    <row r="144" spans="5:15" x14ac:dyDescent="0.25">
      <c r="E144" s="145"/>
    </row>
    <row r="145" spans="5:5" x14ac:dyDescent="0.25">
      <c r="E145" s="145"/>
    </row>
    <row r="146" spans="5:5" x14ac:dyDescent="0.25">
      <c r="E146" s="145"/>
    </row>
    <row r="147" spans="5:5" x14ac:dyDescent="0.25">
      <c r="E147" s="145"/>
    </row>
    <row r="148" spans="5:5" x14ac:dyDescent="0.25">
      <c r="E148" s="145"/>
    </row>
    <row r="149" spans="5:5" x14ac:dyDescent="0.25">
      <c r="E149" s="145"/>
    </row>
    <row r="150" spans="5:5" x14ac:dyDescent="0.25">
      <c r="E150" s="145"/>
    </row>
    <row r="151" spans="5:5" x14ac:dyDescent="0.25">
      <c r="E151" s="145"/>
    </row>
    <row r="152" spans="5:5" x14ac:dyDescent="0.25">
      <c r="E152" s="145"/>
    </row>
    <row r="153" spans="5:5" x14ac:dyDescent="0.25">
      <c r="E153" s="54"/>
    </row>
  </sheetData>
  <mergeCells count="5">
    <mergeCell ref="AM8:BG8"/>
    <mergeCell ref="N8:T8"/>
    <mergeCell ref="U8:W8"/>
    <mergeCell ref="AJ8:AL8"/>
    <mergeCell ref="Y8:AE8"/>
  </mergeCell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Soils</vt:lpstr>
      <vt:lpstr>weather data</vt:lpstr>
      <vt:lpstr>Fig 6</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Tyler Pratt</cp:lastModifiedBy>
  <dcterms:created xsi:type="dcterms:W3CDTF">2015-07-16T20:13:18Z</dcterms:created>
  <dcterms:modified xsi:type="dcterms:W3CDTF">2018-10-05T18:33:51Z</dcterms:modified>
</cp:coreProperties>
</file>