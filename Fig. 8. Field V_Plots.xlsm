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C:\Users\tpratt\Dropbox\Z Thesis Research\1_Journal\d_fourth submission\GitHub\"/>
    </mc:Choice>
  </mc:AlternateContent>
  <xr:revisionPtr revIDLastSave="0" documentId="13_ncr:1_{7171606F-AC56-40BA-B65B-2C3B057188A9}" xr6:coauthVersionLast="36" xr6:coauthVersionMax="36" xr10:uidLastSave="{00000000-0000-0000-0000-000000000000}"/>
  <bookViews>
    <workbookView xWindow="480" yWindow="105" windowWidth="8595" windowHeight="7740" activeTab="2" xr2:uid="{00000000-000D-0000-FFFF-FFFF00000000}"/>
  </bookViews>
  <sheets>
    <sheet name="Soils" sheetId="6" r:id="rId1"/>
    <sheet name="weather data" sheetId="5" r:id="rId2"/>
    <sheet name="Fig 8" sheetId="3" r:id="rId3"/>
  </sheets>
  <calcPr calcId="162913"/>
</workbook>
</file>

<file path=xl/calcChain.xml><?xml version="1.0" encoding="utf-8"?>
<calcChain xmlns="http://schemas.openxmlformats.org/spreadsheetml/2006/main">
  <c r="AB131" i="3" l="1"/>
  <c r="O128" i="3"/>
  <c r="P128" i="3" s="1"/>
  <c r="Q128" i="3" s="1"/>
  <c r="AA128" i="3"/>
  <c r="AB128" i="3" s="1"/>
  <c r="AA129" i="3"/>
  <c r="AB129" i="3" s="1"/>
  <c r="O130" i="3"/>
  <c r="P130" i="3" s="1"/>
  <c r="Q130" i="3" s="1"/>
  <c r="AA130" i="3"/>
  <c r="AB130" i="3" s="1"/>
  <c r="AK130" i="3"/>
  <c r="AA131" i="3"/>
  <c r="L126" i="3"/>
  <c r="L128" i="3"/>
  <c r="L129" i="3"/>
  <c r="O129" i="3" s="1"/>
  <c r="P129" i="3" s="1"/>
  <c r="Q129" i="3" s="1"/>
  <c r="L130" i="3"/>
  <c r="L131" i="3"/>
  <c r="O131" i="3" s="1"/>
  <c r="P131" i="3" s="1"/>
  <c r="Q131" i="3" s="1"/>
  <c r="L12" i="3"/>
  <c r="L14" i="3"/>
  <c r="L15" i="3"/>
  <c r="L16" i="3"/>
  <c r="L17" i="3"/>
  <c r="L18" i="3"/>
  <c r="L19" i="3"/>
  <c r="L21" i="3"/>
  <c r="L22" i="3"/>
  <c r="L23" i="3"/>
  <c r="L24" i="3"/>
  <c r="L25" i="3"/>
  <c r="L26" i="3"/>
  <c r="L27" i="3"/>
  <c r="L28" i="3"/>
  <c r="L30" i="3"/>
  <c r="L31" i="3"/>
  <c r="L33" i="3"/>
  <c r="L35" i="3"/>
  <c r="L37" i="3"/>
  <c r="L38" i="3"/>
  <c r="L39" i="3"/>
  <c r="L40" i="3"/>
  <c r="L41" i="3"/>
  <c r="L42" i="3"/>
  <c r="L43" i="3"/>
  <c r="L44" i="3"/>
  <c r="L45" i="3"/>
  <c r="L46" i="3"/>
  <c r="L47" i="3"/>
  <c r="L48" i="3"/>
  <c r="L49" i="3"/>
  <c r="L50" i="3"/>
  <c r="L51" i="3"/>
  <c r="L52" i="3"/>
  <c r="L53" i="3"/>
  <c r="L54" i="3"/>
  <c r="L56" i="3"/>
  <c r="L57" i="3"/>
  <c r="L58" i="3"/>
  <c r="L59" i="3"/>
  <c r="L60" i="3"/>
  <c r="L61" i="3"/>
  <c r="L62" i="3"/>
  <c r="L63" i="3"/>
  <c r="L65" i="3"/>
  <c r="L66" i="3"/>
  <c r="L67" i="3"/>
  <c r="L68" i="3"/>
  <c r="L70" i="3"/>
  <c r="L72" i="3"/>
  <c r="L73" i="3"/>
  <c r="L74" i="3"/>
  <c r="L75" i="3"/>
  <c r="L76" i="3"/>
  <c r="L77" i="3"/>
  <c r="L78" i="3"/>
  <c r="L79" i="3"/>
  <c r="L80" i="3"/>
  <c r="L81" i="3"/>
  <c r="L82" i="3"/>
  <c r="L83" i="3"/>
  <c r="L84" i="3"/>
  <c r="L85" i="3"/>
  <c r="L86" i="3"/>
  <c r="L87" i="3"/>
  <c r="L88" i="3"/>
  <c r="L89" i="3"/>
  <c r="L90" i="3"/>
  <c r="L91" i="3"/>
  <c r="L93" i="3"/>
  <c r="L94" i="3"/>
  <c r="L96" i="3"/>
  <c r="L97" i="3"/>
  <c r="L98" i="3"/>
  <c r="L99" i="3"/>
  <c r="L100" i="3"/>
  <c r="L101" i="3"/>
  <c r="L103" i="3"/>
  <c r="L104" i="3"/>
  <c r="L105" i="3"/>
  <c r="L106" i="3"/>
  <c r="L107" i="3"/>
  <c r="L108" i="3"/>
  <c r="L110" i="3"/>
  <c r="L112" i="3"/>
  <c r="L114" i="3"/>
  <c r="L115" i="3"/>
  <c r="L117" i="3"/>
  <c r="L118" i="3"/>
  <c r="L119" i="3"/>
  <c r="L120" i="3"/>
  <c r="L121" i="3"/>
  <c r="L122" i="3"/>
  <c r="L123" i="3"/>
  <c r="L124" i="3"/>
  <c r="E130" i="3"/>
  <c r="E127" i="3"/>
  <c r="L127" i="3" s="1"/>
  <c r="E125" i="3"/>
  <c r="L125" i="3" s="1"/>
  <c r="E123" i="3"/>
  <c r="E116" i="3"/>
  <c r="L116" i="3" s="1"/>
  <c r="E113" i="3"/>
  <c r="L113" i="3" s="1"/>
  <c r="E111" i="3"/>
  <c r="L111" i="3" s="1"/>
  <c r="E109" i="3"/>
  <c r="L109" i="3" s="1"/>
  <c r="E106" i="3"/>
  <c r="E104" i="3"/>
  <c r="E102" i="3"/>
  <c r="L102" i="3" s="1"/>
  <c r="E99" i="3"/>
  <c r="E95" i="3"/>
  <c r="L95" i="3" s="1"/>
  <c r="E92" i="3"/>
  <c r="L92" i="3" s="1"/>
  <c r="E90" i="3"/>
  <c r="E88" i="3"/>
  <c r="E81" i="3"/>
  <c r="E76" i="3"/>
  <c r="E71" i="3"/>
  <c r="L71" i="3" s="1"/>
  <c r="E69" i="3"/>
  <c r="L69" i="3" s="1"/>
  <c r="E67" i="3"/>
  <c r="E64" i="3"/>
  <c r="L64" i="3" s="1"/>
  <c r="E57" i="3"/>
  <c r="E55" i="3"/>
  <c r="L55" i="3" s="1"/>
  <c r="E50" i="3"/>
  <c r="E43" i="3"/>
  <c r="E41" i="3"/>
  <c r="E36" i="3"/>
  <c r="L36" i="3" s="1"/>
  <c r="E34" i="3"/>
  <c r="L34" i="3" s="1"/>
  <c r="E32" i="3"/>
  <c r="L32" i="3" s="1"/>
  <c r="E29" i="3"/>
  <c r="L29" i="3" s="1"/>
  <c r="E27" i="3"/>
  <c r="E25" i="3"/>
  <c r="E20" i="3"/>
  <c r="L20" i="3" s="1"/>
  <c r="E18" i="3"/>
  <c r="E13" i="3"/>
  <c r="L13" i="3" s="1"/>
  <c r="E11" i="3"/>
  <c r="L11" i="3" s="1"/>
  <c r="AM130" i="3" l="1"/>
  <c r="AN130" i="3" s="1"/>
  <c r="AL130" i="3"/>
  <c r="E133" i="3"/>
  <c r="B158" i="5" l="1"/>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U130" i="3" l="1"/>
  <c r="V130" i="3" s="1"/>
  <c r="X131" i="3"/>
  <c r="AE131" i="3" s="1"/>
  <c r="X130" i="3"/>
  <c r="AE130" i="3" s="1"/>
  <c r="U129" i="3"/>
  <c r="V129" i="3" s="1"/>
  <c r="X129" i="3"/>
  <c r="AE129" i="3" s="1"/>
  <c r="X128" i="3"/>
  <c r="AE128" i="3" s="1"/>
  <c r="U131" i="3"/>
  <c r="V131" i="3" s="1"/>
  <c r="U128" i="3"/>
  <c r="V128" i="3" s="1"/>
  <c r="X11" i="3"/>
  <c r="M81" i="6"/>
  <c r="AA12" i="3" l="1"/>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B79" i="3" s="1"/>
  <c r="AA80" i="3"/>
  <c r="AB80" i="3" s="1"/>
  <c r="AA81" i="3"/>
  <c r="AB81" i="3" s="1"/>
  <c r="AA82" i="3"/>
  <c r="AB82" i="3" s="1"/>
  <c r="AA83" i="3"/>
  <c r="AB83" i="3" s="1"/>
  <c r="AA84" i="3"/>
  <c r="AB84" i="3" s="1"/>
  <c r="AA85" i="3"/>
  <c r="AB85" i="3" s="1"/>
  <c r="AA86" i="3"/>
  <c r="AB86" i="3" s="1"/>
  <c r="AA87" i="3"/>
  <c r="AB87" i="3" s="1"/>
  <c r="AA88" i="3"/>
  <c r="AB88" i="3" s="1"/>
  <c r="AA89" i="3"/>
  <c r="AB89" i="3" s="1"/>
  <c r="AA90" i="3"/>
  <c r="AB90" i="3" s="1"/>
  <c r="AA91" i="3"/>
  <c r="AB91" i="3" s="1"/>
  <c r="AA92" i="3"/>
  <c r="AB92" i="3" s="1"/>
  <c r="AA93" i="3"/>
  <c r="AB93" i="3" s="1"/>
  <c r="AA94" i="3"/>
  <c r="AB94" i="3" s="1"/>
  <c r="AA95" i="3"/>
  <c r="AB95" i="3" s="1"/>
  <c r="AA96" i="3"/>
  <c r="AB96" i="3" s="1"/>
  <c r="AA97" i="3"/>
  <c r="AB97" i="3" s="1"/>
  <c r="AA98" i="3"/>
  <c r="AB98" i="3" s="1"/>
  <c r="AA99" i="3"/>
  <c r="AB99" i="3" s="1"/>
  <c r="AA100" i="3"/>
  <c r="AB100" i="3" s="1"/>
  <c r="AA101" i="3"/>
  <c r="AB101" i="3" s="1"/>
  <c r="AA102" i="3"/>
  <c r="AB102" i="3" s="1"/>
  <c r="AA103" i="3"/>
  <c r="AB103" i="3" s="1"/>
  <c r="AA104" i="3"/>
  <c r="AB104" i="3" s="1"/>
  <c r="AA105" i="3"/>
  <c r="AB105" i="3" s="1"/>
  <c r="AA106" i="3"/>
  <c r="AB106" i="3" s="1"/>
  <c r="AA107" i="3"/>
  <c r="AB107" i="3" s="1"/>
  <c r="AA108" i="3"/>
  <c r="AB108" i="3" s="1"/>
  <c r="AA109" i="3"/>
  <c r="AB109" i="3" s="1"/>
  <c r="AA110" i="3"/>
  <c r="AB110" i="3" s="1"/>
  <c r="AA111" i="3"/>
  <c r="AB111" i="3" s="1"/>
  <c r="AA112" i="3"/>
  <c r="AB112" i="3" s="1"/>
  <c r="AA113" i="3"/>
  <c r="AB113" i="3" s="1"/>
  <c r="AA114" i="3"/>
  <c r="AB114" i="3" s="1"/>
  <c r="AA115" i="3"/>
  <c r="AB115" i="3" s="1"/>
  <c r="AA116" i="3"/>
  <c r="AB116" i="3" s="1"/>
  <c r="AA117" i="3"/>
  <c r="AB117" i="3" s="1"/>
  <c r="AA118" i="3"/>
  <c r="AB118" i="3" s="1"/>
  <c r="AA119" i="3"/>
  <c r="AB119" i="3" s="1"/>
  <c r="AA120" i="3"/>
  <c r="AB120" i="3" s="1"/>
  <c r="AA121" i="3"/>
  <c r="AB121" i="3" s="1"/>
  <c r="AA122" i="3"/>
  <c r="AB122" i="3" s="1"/>
  <c r="AA123" i="3"/>
  <c r="AB123" i="3" s="1"/>
  <c r="AA124" i="3"/>
  <c r="AB124" i="3" s="1"/>
  <c r="AA125" i="3"/>
  <c r="AB125" i="3" s="1"/>
  <c r="AA126" i="3"/>
  <c r="AB126" i="3" s="1"/>
  <c r="AA127" i="3"/>
  <c r="AB127" i="3" s="1"/>
  <c r="AA11" i="3"/>
  <c r="AB11" i="3" s="1"/>
  <c r="AI10" i="3" l="1"/>
  <c r="AK10" i="3" s="1"/>
  <c r="AP10" i="3" s="1"/>
  <c r="L58" i="6"/>
  <c r="AH35" i="3"/>
  <c r="AI35" i="3" s="1"/>
  <c r="AH36" i="3"/>
  <c r="AI36" i="3" s="1"/>
  <c r="AH43" i="3"/>
  <c r="AI43" i="3" s="1"/>
  <c r="AH44" i="3"/>
  <c r="AI44" i="3" s="1"/>
  <c r="AH51" i="3"/>
  <c r="AI51" i="3" s="1"/>
  <c r="AH52" i="3"/>
  <c r="AI52" i="3" s="1"/>
  <c r="AH59" i="3"/>
  <c r="AI59" i="3" s="1"/>
  <c r="AH60" i="3"/>
  <c r="AI60" i="3" s="1"/>
  <c r="AH68" i="3"/>
  <c r="AI68" i="3" s="1"/>
  <c r="AH99" i="3"/>
  <c r="AH100" i="3"/>
  <c r="AH107" i="3"/>
  <c r="AH108" i="3"/>
  <c r="AH115" i="3"/>
  <c r="AH116" i="3"/>
  <c r="AH123" i="3"/>
  <c r="AH124"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L42" i="6"/>
  <c r="AH25" i="3" s="1"/>
  <c r="AI25" i="3" s="1"/>
  <c r="L44" i="6"/>
  <c r="AH33" i="3" s="1"/>
  <c r="AI33" i="3" s="1"/>
  <c r="L45" i="6"/>
  <c r="AH41" i="3" s="1"/>
  <c r="AI41" i="3" s="1"/>
  <c r="L46" i="6"/>
  <c r="AH49" i="3" s="1"/>
  <c r="AI49" i="3" s="1"/>
  <c r="L47" i="6"/>
  <c r="AH57" i="3" s="1"/>
  <c r="AI57" i="3" s="1"/>
  <c r="L48" i="6"/>
  <c r="AH65" i="3" s="1"/>
  <c r="AI65" i="3" s="1"/>
  <c r="L49" i="6"/>
  <c r="AH73" i="3" s="1"/>
  <c r="AI73" i="3" s="1"/>
  <c r="L50" i="6"/>
  <c r="L52" i="6"/>
  <c r="AH97" i="3" s="1"/>
  <c r="L53" i="6"/>
  <c r="AH105" i="3" s="1"/>
  <c r="L54" i="6"/>
  <c r="AH113" i="3" s="1"/>
  <c r="L55" i="6"/>
  <c r="AH121" i="3" s="1"/>
  <c r="L56" i="6"/>
  <c r="AH127" i="3" s="1"/>
  <c r="L57" i="6"/>
  <c r="AH131" i="3" s="1"/>
  <c r="AK131" i="3" s="1"/>
  <c r="L41" i="6"/>
  <c r="AH17" i="3" s="1"/>
  <c r="AI17" i="3" s="1"/>
  <c r="K60" i="6"/>
  <c r="L43" i="6" s="1"/>
  <c r="AH26" i="3" l="1"/>
  <c r="AI26" i="3" s="1"/>
  <c r="AH29" i="3"/>
  <c r="AI29" i="3" s="1"/>
  <c r="AK29" i="3" s="1"/>
  <c r="AL29" i="3" s="1"/>
  <c r="AH30" i="3"/>
  <c r="AI30" i="3" s="1"/>
  <c r="AK30" i="3" s="1"/>
  <c r="AL30" i="3" s="1"/>
  <c r="AH28" i="3"/>
  <c r="AI28" i="3" s="1"/>
  <c r="AK28" i="3" s="1"/>
  <c r="AL28" i="3" s="1"/>
  <c r="AH31" i="3"/>
  <c r="AI31" i="3" s="1"/>
  <c r="AK31" i="3" s="1"/>
  <c r="AL31" i="3" s="1"/>
  <c r="AH32" i="3"/>
  <c r="AI32" i="3" s="1"/>
  <c r="AK32" i="3" s="1"/>
  <c r="AL32" i="3" s="1"/>
  <c r="AH27" i="3"/>
  <c r="AI27" i="3" s="1"/>
  <c r="AK27" i="3" s="1"/>
  <c r="AL27" i="3" s="1"/>
  <c r="AH81" i="3"/>
  <c r="AI81" i="3" s="1"/>
  <c r="AK81" i="3" s="1"/>
  <c r="AL81" i="3" s="1"/>
  <c r="AH12" i="3"/>
  <c r="AI12" i="3" s="1"/>
  <c r="AH75" i="3"/>
  <c r="AI75" i="3" s="1"/>
  <c r="AK75" i="3" s="1"/>
  <c r="AL75" i="3" s="1"/>
  <c r="AH11" i="3"/>
  <c r="AI11" i="3" s="1"/>
  <c r="AK11" i="3" s="1"/>
  <c r="AL11" i="3" s="1"/>
  <c r="AH120" i="3"/>
  <c r="AH112" i="3"/>
  <c r="AH104" i="3"/>
  <c r="AH96" i="3"/>
  <c r="AH80" i="3"/>
  <c r="AI80" i="3" s="1"/>
  <c r="AK80" i="3" s="1"/>
  <c r="AL80" i="3" s="1"/>
  <c r="AH72" i="3"/>
  <c r="AI72" i="3" s="1"/>
  <c r="AH64" i="3"/>
  <c r="AI64" i="3" s="1"/>
  <c r="AK64" i="3" s="1"/>
  <c r="AL64" i="3" s="1"/>
  <c r="AH56" i="3"/>
  <c r="AI56" i="3" s="1"/>
  <c r="AK56" i="3" s="1"/>
  <c r="AL56" i="3" s="1"/>
  <c r="AH48" i="3"/>
  <c r="AI48" i="3" s="1"/>
  <c r="AK48" i="3" s="1"/>
  <c r="AL48" i="3" s="1"/>
  <c r="AH40" i="3"/>
  <c r="AI40" i="3" s="1"/>
  <c r="AK40" i="3" s="1"/>
  <c r="AL40" i="3" s="1"/>
  <c r="AH24" i="3"/>
  <c r="AI24" i="3" s="1"/>
  <c r="AK24" i="3" s="1"/>
  <c r="AL24" i="3" s="1"/>
  <c r="AH16" i="3"/>
  <c r="AI16" i="3" s="1"/>
  <c r="AK16" i="3" s="1"/>
  <c r="AL16" i="3" s="1"/>
  <c r="AH119" i="3"/>
  <c r="AH111" i="3"/>
  <c r="AH103" i="3"/>
  <c r="AH95" i="3"/>
  <c r="AH79" i="3"/>
  <c r="AI79" i="3" s="1"/>
  <c r="AK79" i="3" s="1"/>
  <c r="AL79" i="3" s="1"/>
  <c r="AH71" i="3"/>
  <c r="AI71" i="3" s="1"/>
  <c r="AK71" i="3" s="1"/>
  <c r="AL71" i="3" s="1"/>
  <c r="AH63" i="3"/>
  <c r="AI63" i="3" s="1"/>
  <c r="AK63" i="3" s="1"/>
  <c r="AL63" i="3" s="1"/>
  <c r="AH55" i="3"/>
  <c r="AI55" i="3" s="1"/>
  <c r="AK55" i="3" s="1"/>
  <c r="AL55" i="3" s="1"/>
  <c r="AH47" i="3"/>
  <c r="AI47" i="3" s="1"/>
  <c r="AK47" i="3" s="1"/>
  <c r="AL47" i="3" s="1"/>
  <c r="AH39" i="3"/>
  <c r="AI39" i="3" s="1"/>
  <c r="AH23" i="3"/>
  <c r="AI23" i="3" s="1"/>
  <c r="AK23" i="3" s="1"/>
  <c r="AL23" i="3" s="1"/>
  <c r="AH15" i="3"/>
  <c r="AI15" i="3" s="1"/>
  <c r="AK15" i="3" s="1"/>
  <c r="AL15" i="3" s="1"/>
  <c r="AH84" i="3"/>
  <c r="AI84" i="3" s="1"/>
  <c r="AK84" i="3" s="1"/>
  <c r="AL84" i="3" s="1"/>
  <c r="AH76" i="3"/>
  <c r="AI76" i="3" s="1"/>
  <c r="AK76" i="3" s="1"/>
  <c r="AL76" i="3" s="1"/>
  <c r="AM131" i="3"/>
  <c r="AN131" i="3" s="1"/>
  <c r="AL131" i="3"/>
  <c r="AH19" i="3"/>
  <c r="AI19" i="3" s="1"/>
  <c r="AK19" i="3" s="1"/>
  <c r="AL19" i="3" s="1"/>
  <c r="AH130" i="3"/>
  <c r="AH129" i="3"/>
  <c r="AK129" i="3" s="1"/>
  <c r="AH128" i="3"/>
  <c r="AK128" i="3" s="1"/>
  <c r="AH126" i="3"/>
  <c r="AH118" i="3"/>
  <c r="AH110" i="3"/>
  <c r="AH102" i="3"/>
  <c r="AH94" i="3"/>
  <c r="AH78" i="3"/>
  <c r="AI78" i="3" s="1"/>
  <c r="AH70" i="3"/>
  <c r="AI70" i="3" s="1"/>
  <c r="AK70" i="3" s="1"/>
  <c r="AL70" i="3" s="1"/>
  <c r="AH62" i="3"/>
  <c r="AI62" i="3" s="1"/>
  <c r="AK62" i="3" s="1"/>
  <c r="AL62" i="3" s="1"/>
  <c r="AH54" i="3"/>
  <c r="AI54" i="3" s="1"/>
  <c r="AK54" i="3" s="1"/>
  <c r="AL54" i="3" s="1"/>
  <c r="AH46" i="3"/>
  <c r="AI46" i="3" s="1"/>
  <c r="AK46" i="3" s="1"/>
  <c r="AL46" i="3" s="1"/>
  <c r="AH38" i="3"/>
  <c r="AI38" i="3" s="1"/>
  <c r="AK38" i="3" s="1"/>
  <c r="AL38" i="3" s="1"/>
  <c r="AH22" i="3"/>
  <c r="AI22" i="3" s="1"/>
  <c r="AK22" i="3" s="1"/>
  <c r="AL22" i="3" s="1"/>
  <c r="AH14" i="3"/>
  <c r="AI14" i="3" s="1"/>
  <c r="AK14" i="3" s="1"/>
  <c r="AL14" i="3" s="1"/>
  <c r="L51" i="6"/>
  <c r="AH125" i="3"/>
  <c r="AH117" i="3"/>
  <c r="AH109" i="3"/>
  <c r="AH101" i="3"/>
  <c r="AH85" i="3"/>
  <c r="AI85" i="3" s="1"/>
  <c r="AK85" i="3" s="1"/>
  <c r="AL85" i="3" s="1"/>
  <c r="AH77" i="3"/>
  <c r="AI77" i="3" s="1"/>
  <c r="AK77" i="3" s="1"/>
  <c r="AL77" i="3" s="1"/>
  <c r="AH69" i="3"/>
  <c r="AI69" i="3" s="1"/>
  <c r="AK69" i="3" s="1"/>
  <c r="AL69" i="3" s="1"/>
  <c r="AH61" i="3"/>
  <c r="AI61" i="3" s="1"/>
  <c r="AH53" i="3"/>
  <c r="AI53" i="3" s="1"/>
  <c r="AK53" i="3" s="1"/>
  <c r="AL53" i="3" s="1"/>
  <c r="AH45" i="3"/>
  <c r="AI45" i="3" s="1"/>
  <c r="AK45" i="3" s="1"/>
  <c r="AL45" i="3" s="1"/>
  <c r="AH37" i="3"/>
  <c r="AI37" i="3" s="1"/>
  <c r="AK37" i="3" s="1"/>
  <c r="AL37" i="3" s="1"/>
  <c r="AH21" i="3"/>
  <c r="AI21" i="3" s="1"/>
  <c r="AK21" i="3" s="1"/>
  <c r="AL21" i="3" s="1"/>
  <c r="AH13" i="3"/>
  <c r="AI13" i="3" s="1"/>
  <c r="AK13" i="3" s="1"/>
  <c r="AL13" i="3" s="1"/>
  <c r="AH20" i="3"/>
  <c r="AI20" i="3" s="1"/>
  <c r="AK20" i="3" s="1"/>
  <c r="AL20" i="3" s="1"/>
  <c r="AH83" i="3"/>
  <c r="AI83" i="3" s="1"/>
  <c r="AK83" i="3" s="1"/>
  <c r="AL83" i="3" s="1"/>
  <c r="AH67" i="3"/>
  <c r="AI67" i="3" s="1"/>
  <c r="AH122" i="3"/>
  <c r="AH114" i="3"/>
  <c r="AH106" i="3"/>
  <c r="AH98" i="3"/>
  <c r="AH82" i="3"/>
  <c r="AI82" i="3" s="1"/>
  <c r="AK82" i="3" s="1"/>
  <c r="AL82" i="3" s="1"/>
  <c r="AH74" i="3"/>
  <c r="AI74" i="3" s="1"/>
  <c r="AK74" i="3" s="1"/>
  <c r="AL74" i="3" s="1"/>
  <c r="AH66" i="3"/>
  <c r="AI66" i="3" s="1"/>
  <c r="AK66" i="3" s="1"/>
  <c r="AL66" i="3" s="1"/>
  <c r="AH58" i="3"/>
  <c r="AI58" i="3" s="1"/>
  <c r="AH50" i="3"/>
  <c r="AI50" i="3" s="1"/>
  <c r="AK50" i="3" s="1"/>
  <c r="AL50" i="3" s="1"/>
  <c r="AH42" i="3"/>
  <c r="AI42" i="3" s="1"/>
  <c r="AK42" i="3" s="1"/>
  <c r="AL42" i="3" s="1"/>
  <c r="AH34" i="3"/>
  <c r="AI34" i="3" s="1"/>
  <c r="AK34" i="3" s="1"/>
  <c r="AL34" i="3" s="1"/>
  <c r="AH18" i="3"/>
  <c r="AI18" i="3" s="1"/>
  <c r="AK18" i="3" s="1"/>
  <c r="AL18" i="3" s="1"/>
  <c r="T142" i="3"/>
  <c r="AK96" i="3"/>
  <c r="AL96" i="3" s="1"/>
  <c r="AK94" i="3"/>
  <c r="AL94" i="3" s="1"/>
  <c r="AK78" i="3"/>
  <c r="AL78" i="3" s="1"/>
  <c r="AK72" i="3"/>
  <c r="AL72" i="3" s="1"/>
  <c r="AK68" i="3"/>
  <c r="AL68" i="3" s="1"/>
  <c r="AK60" i="3"/>
  <c r="AL60" i="3" s="1"/>
  <c r="AK58" i="3"/>
  <c r="AL58" i="3" s="1"/>
  <c r="AK52" i="3"/>
  <c r="AL52" i="3" s="1"/>
  <c r="AK44" i="3"/>
  <c r="AL44" i="3" s="1"/>
  <c r="AK36" i="3"/>
  <c r="AL36" i="3" s="1"/>
  <c r="AK26" i="3"/>
  <c r="AL26" i="3" s="1"/>
  <c r="AK12" i="3"/>
  <c r="AL12" i="3" s="1"/>
  <c r="AK97" i="3"/>
  <c r="AL97" i="3" s="1"/>
  <c r="AK95" i="3"/>
  <c r="AL95" i="3" s="1"/>
  <c r="AK73" i="3"/>
  <c r="AL73" i="3" s="1"/>
  <c r="AK67" i="3"/>
  <c r="AL67" i="3" s="1"/>
  <c r="AK65" i="3"/>
  <c r="AL65" i="3" s="1"/>
  <c r="AK61" i="3"/>
  <c r="AL61" i="3" s="1"/>
  <c r="AK59" i="3"/>
  <c r="AL59" i="3" s="1"/>
  <c r="AK57" i="3"/>
  <c r="AL57" i="3" s="1"/>
  <c r="AK51" i="3"/>
  <c r="AL51" i="3" s="1"/>
  <c r="AK49" i="3"/>
  <c r="AL49" i="3" s="1"/>
  <c r="AK43" i="3"/>
  <c r="AL43" i="3" s="1"/>
  <c r="AK41" i="3"/>
  <c r="AL41" i="3" s="1"/>
  <c r="AK39" i="3"/>
  <c r="AL39" i="3" s="1"/>
  <c r="AK35" i="3"/>
  <c r="AL35" i="3" s="1"/>
  <c r="AK33" i="3"/>
  <c r="AL33" i="3" s="1"/>
  <c r="AK25" i="3"/>
  <c r="AL25" i="3" s="1"/>
  <c r="AK17" i="3"/>
  <c r="AL17" i="3" s="1"/>
  <c r="AK126" i="3"/>
  <c r="AL126" i="3" s="1"/>
  <c r="AK124" i="3"/>
  <c r="AL124" i="3" s="1"/>
  <c r="AK122" i="3"/>
  <c r="AL122" i="3" s="1"/>
  <c r="AK120" i="3"/>
  <c r="AL120" i="3" s="1"/>
  <c r="AK118" i="3"/>
  <c r="AL118" i="3" s="1"/>
  <c r="AK127" i="3"/>
  <c r="AL127" i="3" s="1"/>
  <c r="AK125" i="3"/>
  <c r="AL125" i="3" s="1"/>
  <c r="AK123" i="3"/>
  <c r="AL123" i="3" s="1"/>
  <c r="AK121" i="3"/>
  <c r="AL121" i="3" s="1"/>
  <c r="AK119" i="3"/>
  <c r="AL119" i="3" s="1"/>
  <c r="AK117" i="3"/>
  <c r="AL117" i="3" s="1"/>
  <c r="AK115" i="3"/>
  <c r="AL115" i="3" s="1"/>
  <c r="AK113" i="3"/>
  <c r="AL113" i="3" s="1"/>
  <c r="AK111" i="3"/>
  <c r="AL111" i="3" s="1"/>
  <c r="AK109" i="3"/>
  <c r="AL109" i="3" s="1"/>
  <c r="AK107" i="3"/>
  <c r="AL107" i="3" s="1"/>
  <c r="AK105" i="3"/>
  <c r="AL105" i="3" s="1"/>
  <c r="AK101" i="3"/>
  <c r="AL101" i="3" s="1"/>
  <c r="AK99" i="3"/>
  <c r="AL99" i="3" s="1"/>
  <c r="AK116" i="3"/>
  <c r="AL116" i="3" s="1"/>
  <c r="AK114" i="3"/>
  <c r="AL114" i="3" s="1"/>
  <c r="AK112" i="3"/>
  <c r="AL112" i="3" s="1"/>
  <c r="AK110" i="3"/>
  <c r="AL110" i="3" s="1"/>
  <c r="AK106" i="3"/>
  <c r="AL106" i="3" s="1"/>
  <c r="AK104" i="3"/>
  <c r="AL104" i="3" s="1"/>
  <c r="AK100" i="3"/>
  <c r="AL100" i="3" s="1"/>
  <c r="AK98" i="3"/>
  <c r="AL98" i="3" s="1"/>
  <c r="AK108" i="3"/>
  <c r="AL108" i="3" s="1"/>
  <c r="AK103" i="3"/>
  <c r="AL103" i="3" s="1"/>
  <c r="AK102" i="3"/>
  <c r="AL102" i="3" s="1"/>
  <c r="R34" i="6"/>
  <c r="R33" i="6"/>
  <c r="R31" i="6"/>
  <c r="R30" i="6"/>
  <c r="R29" i="6"/>
  <c r="R28" i="6"/>
  <c r="R26" i="6"/>
  <c r="R24" i="6"/>
  <c r="R22" i="6"/>
  <c r="R20" i="6"/>
  <c r="R16" i="6"/>
  <c r="R14" i="6"/>
  <c r="R13" i="6"/>
  <c r="R12" i="6"/>
  <c r="R10" i="6"/>
  <c r="R9" i="6"/>
  <c r="R6" i="6"/>
  <c r="R5" i="6"/>
  <c r="R4" i="6"/>
  <c r="R3" i="6"/>
  <c r="I6" i="6"/>
  <c r="H13" i="6"/>
  <c r="I13" i="6" s="1"/>
  <c r="H29" i="6"/>
  <c r="I29" i="6" s="1"/>
  <c r="H31" i="6"/>
  <c r="I31" i="6" s="1"/>
  <c r="H9" i="6"/>
  <c r="I9" i="6" s="1"/>
  <c r="H5" i="6"/>
  <c r="I5" i="6" s="1"/>
  <c r="H6" i="6"/>
  <c r="G35" i="6"/>
  <c r="G18" i="6"/>
  <c r="G17" i="6"/>
  <c r="AM128" i="3" l="1"/>
  <c r="AN128" i="3" s="1"/>
  <c r="AL128" i="3"/>
  <c r="AM129" i="3"/>
  <c r="AN129" i="3" s="1"/>
  <c r="AL129" i="3"/>
  <c r="AH89" i="3"/>
  <c r="AI89" i="3" s="1"/>
  <c r="AK89" i="3" s="1"/>
  <c r="AL89" i="3" s="1"/>
  <c r="AH90" i="3"/>
  <c r="AI90" i="3" s="1"/>
  <c r="AK90" i="3" s="1"/>
  <c r="AL90" i="3" s="1"/>
  <c r="AH93" i="3"/>
  <c r="AI93" i="3" s="1"/>
  <c r="AK93" i="3" s="1"/>
  <c r="AL93" i="3" s="1"/>
  <c r="AH86" i="3"/>
  <c r="AI86" i="3" s="1"/>
  <c r="AK86" i="3" s="1"/>
  <c r="AL86" i="3" s="1"/>
  <c r="AH91" i="3"/>
  <c r="AI91" i="3" s="1"/>
  <c r="AK91" i="3" s="1"/>
  <c r="AL91" i="3" s="1"/>
  <c r="AH87" i="3"/>
  <c r="AI87" i="3" s="1"/>
  <c r="AK87" i="3" s="1"/>
  <c r="AL87" i="3" s="1"/>
  <c r="AH88" i="3"/>
  <c r="AI88" i="3" s="1"/>
  <c r="AK88" i="3" s="1"/>
  <c r="AL88" i="3" s="1"/>
  <c r="AH92" i="3"/>
  <c r="AI92" i="3" s="1"/>
  <c r="AK92" i="3" s="1"/>
  <c r="AL92" i="3" s="1"/>
  <c r="G10" i="6"/>
  <c r="H10" i="6" s="1"/>
  <c r="I10" i="6" s="1"/>
  <c r="G12" i="6"/>
  <c r="H12" i="6" s="1"/>
  <c r="I12" i="6" s="1"/>
  <c r="G11" i="6"/>
  <c r="G4" i="6"/>
  <c r="H4" i="6" s="1"/>
  <c r="I4" i="6" s="1"/>
  <c r="G15" i="6"/>
  <c r="X12" i="3" l="1"/>
  <c r="AE12" i="3" s="1"/>
  <c r="AE11" i="3"/>
  <c r="G14" i="6"/>
  <c r="H14" i="6" s="1"/>
  <c r="I14" i="6" s="1"/>
  <c r="G16" i="6"/>
  <c r="H16" i="6" s="1"/>
  <c r="I16" i="6" s="1"/>
  <c r="G20" i="6"/>
  <c r="H20" i="6" s="1"/>
  <c r="I20" i="6" s="1"/>
  <c r="G22" i="6"/>
  <c r="H22" i="6" s="1"/>
  <c r="I22" i="6" s="1"/>
  <c r="G24" i="6"/>
  <c r="H24" i="6" s="1"/>
  <c r="I24" i="6" s="1"/>
  <c r="G26" i="6"/>
  <c r="H26" i="6" s="1"/>
  <c r="I26" i="6" s="1"/>
  <c r="G28" i="6"/>
  <c r="H28" i="6" s="1"/>
  <c r="I28" i="6" s="1"/>
  <c r="G30" i="6"/>
  <c r="H30" i="6" s="1"/>
  <c r="I30" i="6" s="1"/>
  <c r="G33" i="6"/>
  <c r="H33" i="6" s="1"/>
  <c r="I33" i="6" s="1"/>
  <c r="G34" i="6"/>
  <c r="H34" i="6" s="1"/>
  <c r="I34" i="6" s="1"/>
  <c r="U11" i="3" l="1"/>
  <c r="D3" i="3" l="1"/>
  <c r="M34" i="6" l="1"/>
  <c r="N34" i="6" s="1"/>
  <c r="M33" i="6"/>
  <c r="N33" i="6" s="1"/>
  <c r="M31" i="6"/>
  <c r="N31" i="6" s="1"/>
  <c r="M30" i="6"/>
  <c r="N30" i="6" s="1"/>
  <c r="M29" i="6"/>
  <c r="N29" i="6" s="1"/>
  <c r="M28" i="6"/>
  <c r="N28" i="6" s="1"/>
  <c r="M26" i="6"/>
  <c r="N26" i="6" s="1"/>
  <c r="M24" i="6"/>
  <c r="N24" i="6" s="1"/>
  <c r="M22" i="6"/>
  <c r="N22" i="6" s="1"/>
  <c r="M20" i="6"/>
  <c r="N20" i="6" s="1"/>
  <c r="M16" i="6"/>
  <c r="N16" i="6" s="1"/>
  <c r="M14" i="6"/>
  <c r="N14" i="6" s="1"/>
  <c r="M13" i="6"/>
  <c r="N13" i="6" s="1"/>
  <c r="M12" i="6"/>
  <c r="N12" i="6" s="1"/>
  <c r="M10" i="6"/>
  <c r="N10" i="6" s="1"/>
  <c r="M9" i="6"/>
  <c r="N9" i="6" s="1"/>
  <c r="M6" i="6"/>
  <c r="N6" i="6" s="1"/>
  <c r="N5" i="6"/>
  <c r="M4" i="6"/>
  <c r="N4" i="6" s="1"/>
  <c r="M3" i="6"/>
  <c r="N3" i="6" s="1"/>
  <c r="G3" i="6"/>
  <c r="H3" i="6" s="1"/>
  <c r="I3" i="6" s="1"/>
  <c r="O48" i="3" l="1"/>
  <c r="P48" i="3" s="1"/>
  <c r="Q48" i="3" s="1"/>
  <c r="O50" i="3"/>
  <c r="P50" i="3" s="1"/>
  <c r="Q50" i="3" s="1"/>
  <c r="O52" i="3"/>
  <c r="P52" i="3" s="1"/>
  <c r="Q52" i="3" s="1"/>
  <c r="O53" i="3"/>
  <c r="P53" i="3" s="1"/>
  <c r="Q53" i="3" s="1"/>
  <c r="O54" i="3"/>
  <c r="P54" i="3" s="1"/>
  <c r="Q54" i="3" s="1"/>
  <c r="O55" i="3"/>
  <c r="P55" i="3" s="1"/>
  <c r="Q55" i="3" s="1"/>
  <c r="O56" i="3"/>
  <c r="P56" i="3" s="1"/>
  <c r="Q56" i="3" s="1"/>
  <c r="O57" i="3"/>
  <c r="P57" i="3" s="1"/>
  <c r="Q57" i="3" s="1"/>
  <c r="O58" i="3"/>
  <c r="P58" i="3" s="1"/>
  <c r="Q58" i="3" s="1"/>
  <c r="O59" i="3"/>
  <c r="P59" i="3" s="1"/>
  <c r="Q59" i="3" s="1"/>
  <c r="O60" i="3"/>
  <c r="P60" i="3" s="1"/>
  <c r="Q60" i="3" s="1"/>
  <c r="O61" i="3"/>
  <c r="P61" i="3" s="1"/>
  <c r="Q61" i="3" s="1"/>
  <c r="O62" i="3"/>
  <c r="P62" i="3" s="1"/>
  <c r="Q62" i="3" s="1"/>
  <c r="O63" i="3"/>
  <c r="P63" i="3" s="1"/>
  <c r="Q63" i="3" s="1"/>
  <c r="O64" i="3"/>
  <c r="P64" i="3" s="1"/>
  <c r="Q64" i="3" s="1"/>
  <c r="O65" i="3"/>
  <c r="P65" i="3" s="1"/>
  <c r="Q65" i="3" s="1"/>
  <c r="O66" i="3"/>
  <c r="P66" i="3" s="1"/>
  <c r="Q66" i="3" s="1"/>
  <c r="O67" i="3"/>
  <c r="P67" i="3" s="1"/>
  <c r="Q67" i="3" s="1"/>
  <c r="O68" i="3"/>
  <c r="P68" i="3" s="1"/>
  <c r="Q68" i="3" s="1"/>
  <c r="O69" i="3"/>
  <c r="P69" i="3" s="1"/>
  <c r="Q69" i="3" s="1"/>
  <c r="O70" i="3"/>
  <c r="P70" i="3" s="1"/>
  <c r="Q70" i="3" s="1"/>
  <c r="O71" i="3"/>
  <c r="P71" i="3" s="1"/>
  <c r="Q71" i="3" s="1"/>
  <c r="O72" i="3"/>
  <c r="P72" i="3" s="1"/>
  <c r="Q72" i="3" s="1"/>
  <c r="O73" i="3"/>
  <c r="P73" i="3" s="1"/>
  <c r="Q73" i="3" s="1"/>
  <c r="O74" i="3"/>
  <c r="P74" i="3" s="1"/>
  <c r="Q74" i="3" s="1"/>
  <c r="O75" i="3"/>
  <c r="P75" i="3" s="1"/>
  <c r="Q75" i="3" s="1"/>
  <c r="O76" i="3"/>
  <c r="P76" i="3" s="1"/>
  <c r="Q76" i="3" s="1"/>
  <c r="O77" i="3"/>
  <c r="P77" i="3" s="1"/>
  <c r="Q77" i="3" s="1"/>
  <c r="O78" i="3"/>
  <c r="P78" i="3" s="1"/>
  <c r="Q78" i="3" s="1"/>
  <c r="O79" i="3"/>
  <c r="P79" i="3" s="1"/>
  <c r="Q79" i="3" s="1"/>
  <c r="O80" i="3"/>
  <c r="P80" i="3" s="1"/>
  <c r="Q80" i="3" s="1"/>
  <c r="O81" i="3"/>
  <c r="P81" i="3" s="1"/>
  <c r="Q81" i="3" s="1"/>
  <c r="O82" i="3"/>
  <c r="P82" i="3" s="1"/>
  <c r="Q82" i="3" s="1"/>
  <c r="O83" i="3"/>
  <c r="P83" i="3" s="1"/>
  <c r="Q83" i="3" s="1"/>
  <c r="O84" i="3"/>
  <c r="P84" i="3" s="1"/>
  <c r="Q84" i="3" s="1"/>
  <c r="O85" i="3"/>
  <c r="P85" i="3" s="1"/>
  <c r="Q85" i="3" s="1"/>
  <c r="O86" i="3"/>
  <c r="P86" i="3" s="1"/>
  <c r="Q86" i="3" s="1"/>
  <c r="O87" i="3"/>
  <c r="P87" i="3" s="1"/>
  <c r="Q87" i="3" s="1"/>
  <c r="O88" i="3"/>
  <c r="P88" i="3" s="1"/>
  <c r="Q88" i="3" s="1"/>
  <c r="O89" i="3"/>
  <c r="P89" i="3" s="1"/>
  <c r="Q89" i="3" s="1"/>
  <c r="O90" i="3"/>
  <c r="P90" i="3" s="1"/>
  <c r="Q90" i="3" s="1"/>
  <c r="O91" i="3"/>
  <c r="P91" i="3" s="1"/>
  <c r="Q91" i="3" s="1"/>
  <c r="O92" i="3"/>
  <c r="P92" i="3" s="1"/>
  <c r="Q92" i="3" s="1"/>
  <c r="O93" i="3"/>
  <c r="P93" i="3" s="1"/>
  <c r="Q93" i="3" s="1"/>
  <c r="O94" i="3"/>
  <c r="P94" i="3" s="1"/>
  <c r="Q94" i="3" s="1"/>
  <c r="O95" i="3"/>
  <c r="P95" i="3" s="1"/>
  <c r="Q95" i="3" s="1"/>
  <c r="O96" i="3"/>
  <c r="P96" i="3" s="1"/>
  <c r="Q96" i="3" s="1"/>
  <c r="O97" i="3"/>
  <c r="P97" i="3" s="1"/>
  <c r="Q97" i="3" s="1"/>
  <c r="O98" i="3"/>
  <c r="P98" i="3" s="1"/>
  <c r="Q98" i="3" s="1"/>
  <c r="O99" i="3"/>
  <c r="P99" i="3" s="1"/>
  <c r="Q99" i="3" s="1"/>
  <c r="O100" i="3"/>
  <c r="P100" i="3" s="1"/>
  <c r="Q100" i="3" s="1"/>
  <c r="O101" i="3"/>
  <c r="P101" i="3" s="1"/>
  <c r="Q101" i="3" s="1"/>
  <c r="O102" i="3"/>
  <c r="P102" i="3" s="1"/>
  <c r="Q102" i="3" s="1"/>
  <c r="O103" i="3"/>
  <c r="P103" i="3" s="1"/>
  <c r="Q103" i="3" s="1"/>
  <c r="O104" i="3"/>
  <c r="P104" i="3" s="1"/>
  <c r="Q104" i="3" s="1"/>
  <c r="O105" i="3"/>
  <c r="P105" i="3" s="1"/>
  <c r="Q105" i="3" s="1"/>
  <c r="O106" i="3"/>
  <c r="P106" i="3" s="1"/>
  <c r="Q106" i="3" s="1"/>
  <c r="O107" i="3"/>
  <c r="P107" i="3" s="1"/>
  <c r="Q107" i="3" s="1"/>
  <c r="O108" i="3"/>
  <c r="P108" i="3" s="1"/>
  <c r="Q108" i="3" s="1"/>
  <c r="O109" i="3"/>
  <c r="P109" i="3" s="1"/>
  <c r="Q109" i="3" s="1"/>
  <c r="O110" i="3"/>
  <c r="P110" i="3" s="1"/>
  <c r="Q110" i="3" s="1"/>
  <c r="O111" i="3"/>
  <c r="P111" i="3" s="1"/>
  <c r="Q111" i="3" s="1"/>
  <c r="O112" i="3"/>
  <c r="P112" i="3" s="1"/>
  <c r="Q112" i="3" s="1"/>
  <c r="O113" i="3"/>
  <c r="P113" i="3" s="1"/>
  <c r="Q113" i="3" s="1"/>
  <c r="O114" i="3"/>
  <c r="P114" i="3" s="1"/>
  <c r="Q114" i="3" s="1"/>
  <c r="O115" i="3"/>
  <c r="P115" i="3" s="1"/>
  <c r="Q115" i="3" s="1"/>
  <c r="O116" i="3"/>
  <c r="P116" i="3" s="1"/>
  <c r="Q116" i="3" s="1"/>
  <c r="O117" i="3"/>
  <c r="P117" i="3" s="1"/>
  <c r="Q117" i="3" s="1"/>
  <c r="O118" i="3"/>
  <c r="P118" i="3" s="1"/>
  <c r="Q118" i="3" s="1"/>
  <c r="O119" i="3"/>
  <c r="P119" i="3" s="1"/>
  <c r="Q119" i="3" s="1"/>
  <c r="O120" i="3"/>
  <c r="P120" i="3" s="1"/>
  <c r="Q120" i="3" s="1"/>
  <c r="O121" i="3"/>
  <c r="P121" i="3" s="1"/>
  <c r="Q121" i="3" s="1"/>
  <c r="O122" i="3"/>
  <c r="P122" i="3" s="1"/>
  <c r="Q122" i="3" s="1"/>
  <c r="O123" i="3"/>
  <c r="P123" i="3" s="1"/>
  <c r="Q123" i="3" s="1"/>
  <c r="O124" i="3"/>
  <c r="P124" i="3" s="1"/>
  <c r="Q124" i="3" s="1"/>
  <c r="O125" i="3"/>
  <c r="P125" i="3" s="1"/>
  <c r="Q125" i="3" s="1"/>
  <c r="O126" i="3"/>
  <c r="P126" i="3" s="1"/>
  <c r="Q126" i="3" s="1"/>
  <c r="O127" i="3"/>
  <c r="P127" i="3" s="1"/>
  <c r="Q127" i="3" s="1"/>
  <c r="B6" i="3" l="1"/>
  <c r="AM25" i="3" l="1"/>
  <c r="AN25" i="3" s="1"/>
  <c r="AM27" i="3"/>
  <c r="AN27" i="3" s="1"/>
  <c r="AM29" i="3"/>
  <c r="AN29" i="3" s="1"/>
  <c r="AM31" i="3"/>
  <c r="AN31" i="3" s="1"/>
  <c r="AM33" i="3"/>
  <c r="AN33" i="3" s="1"/>
  <c r="AM35" i="3"/>
  <c r="AN35" i="3" s="1"/>
  <c r="AM37" i="3"/>
  <c r="AN37" i="3" s="1"/>
  <c r="AM39" i="3"/>
  <c r="AN39" i="3" s="1"/>
  <c r="AM41" i="3"/>
  <c r="AN41" i="3" s="1"/>
  <c r="AM43" i="3"/>
  <c r="AN43" i="3" s="1"/>
  <c r="AM45" i="3"/>
  <c r="AN45" i="3" s="1"/>
  <c r="AM47" i="3"/>
  <c r="AN47" i="3" s="1"/>
  <c r="AM49" i="3"/>
  <c r="AN49" i="3" s="1"/>
  <c r="AM51" i="3"/>
  <c r="AN51" i="3" s="1"/>
  <c r="AM53" i="3"/>
  <c r="AN53" i="3" s="1"/>
  <c r="AM55" i="3"/>
  <c r="AN55" i="3" s="1"/>
  <c r="AM57" i="3"/>
  <c r="AN57" i="3" s="1"/>
  <c r="AM59" i="3"/>
  <c r="AN59" i="3" s="1"/>
  <c r="AM61" i="3"/>
  <c r="AN61" i="3" s="1"/>
  <c r="AM63" i="3"/>
  <c r="AN63" i="3" s="1"/>
  <c r="AM65" i="3"/>
  <c r="AN65" i="3" s="1"/>
  <c r="AM67" i="3"/>
  <c r="AN67" i="3" s="1"/>
  <c r="AM69" i="3"/>
  <c r="AN69" i="3" s="1"/>
  <c r="AM71" i="3"/>
  <c r="AN71" i="3" s="1"/>
  <c r="AM73" i="3"/>
  <c r="AN73" i="3" s="1"/>
  <c r="AM75" i="3"/>
  <c r="AN75" i="3" s="1"/>
  <c r="AM77" i="3"/>
  <c r="AN77" i="3" s="1"/>
  <c r="AM79" i="3"/>
  <c r="AN79" i="3" s="1"/>
  <c r="AM81" i="3"/>
  <c r="AN81" i="3" s="1"/>
  <c r="AM83" i="3"/>
  <c r="AN83" i="3" s="1"/>
  <c r="AM85" i="3"/>
  <c r="AN85" i="3" s="1"/>
  <c r="AM87" i="3"/>
  <c r="AN87" i="3" s="1"/>
  <c r="AM89" i="3"/>
  <c r="AN89" i="3" s="1"/>
  <c r="AM91" i="3"/>
  <c r="AN91" i="3" s="1"/>
  <c r="AM93" i="3"/>
  <c r="AN93" i="3" s="1"/>
  <c r="AM95" i="3"/>
  <c r="AN95" i="3" s="1"/>
  <c r="AM97" i="3"/>
  <c r="AN97" i="3" s="1"/>
  <c r="AM99" i="3"/>
  <c r="AN99" i="3" s="1"/>
  <c r="AM101" i="3"/>
  <c r="AN101" i="3" s="1"/>
  <c r="AM103" i="3"/>
  <c r="AN103" i="3" s="1"/>
  <c r="AM105" i="3"/>
  <c r="AN105" i="3" s="1"/>
  <c r="AM107" i="3"/>
  <c r="AN107" i="3" s="1"/>
  <c r="AM109" i="3"/>
  <c r="AN109" i="3" s="1"/>
  <c r="AM111" i="3"/>
  <c r="AN111" i="3" s="1"/>
  <c r="AM113" i="3"/>
  <c r="AN113" i="3" s="1"/>
  <c r="AM115" i="3"/>
  <c r="AN115" i="3" s="1"/>
  <c r="AM117" i="3"/>
  <c r="AN117" i="3" s="1"/>
  <c r="AM119" i="3"/>
  <c r="AN119" i="3" s="1"/>
  <c r="AM121" i="3"/>
  <c r="AN121" i="3" s="1"/>
  <c r="AM123" i="3"/>
  <c r="AN123" i="3" s="1"/>
  <c r="AM125" i="3"/>
  <c r="AN125" i="3" s="1"/>
  <c r="AM127" i="3"/>
  <c r="AN127" i="3" s="1"/>
  <c r="AM26" i="3"/>
  <c r="AN26" i="3" s="1"/>
  <c r="AM28" i="3"/>
  <c r="AN28" i="3" s="1"/>
  <c r="AM30" i="3"/>
  <c r="AN30" i="3" s="1"/>
  <c r="AM32" i="3"/>
  <c r="AN32" i="3" s="1"/>
  <c r="AM34" i="3"/>
  <c r="AN34" i="3" s="1"/>
  <c r="AM36" i="3"/>
  <c r="AN36" i="3" s="1"/>
  <c r="AM38" i="3"/>
  <c r="AN38" i="3" s="1"/>
  <c r="AM40" i="3"/>
  <c r="AN40" i="3" s="1"/>
  <c r="AM42" i="3"/>
  <c r="AN42" i="3" s="1"/>
  <c r="AM44" i="3"/>
  <c r="AN44" i="3" s="1"/>
  <c r="AM46" i="3"/>
  <c r="AN46" i="3" s="1"/>
  <c r="AM48" i="3"/>
  <c r="AN48" i="3" s="1"/>
  <c r="AM50" i="3"/>
  <c r="AN50" i="3" s="1"/>
  <c r="AM52" i="3"/>
  <c r="AN52" i="3" s="1"/>
  <c r="AM54" i="3"/>
  <c r="AN54" i="3" s="1"/>
  <c r="AM56" i="3"/>
  <c r="AN56" i="3" s="1"/>
  <c r="AM58" i="3"/>
  <c r="AN58" i="3" s="1"/>
  <c r="AM60" i="3"/>
  <c r="AN60" i="3" s="1"/>
  <c r="AM62" i="3"/>
  <c r="AN62" i="3" s="1"/>
  <c r="AM64" i="3"/>
  <c r="AN64" i="3" s="1"/>
  <c r="AM66" i="3"/>
  <c r="AN66" i="3" s="1"/>
  <c r="AM68" i="3"/>
  <c r="AN68" i="3" s="1"/>
  <c r="AM70" i="3"/>
  <c r="AN70" i="3" s="1"/>
  <c r="AM72" i="3"/>
  <c r="AN72" i="3" s="1"/>
  <c r="AM76" i="3"/>
  <c r="AN76" i="3" s="1"/>
  <c r="AM80" i="3"/>
  <c r="AN80" i="3" s="1"/>
  <c r="AM84" i="3"/>
  <c r="AN84" i="3" s="1"/>
  <c r="AM88" i="3"/>
  <c r="AN88" i="3" s="1"/>
  <c r="AM92" i="3"/>
  <c r="AN92" i="3" s="1"/>
  <c r="AM96" i="3"/>
  <c r="AN96" i="3" s="1"/>
  <c r="AM100" i="3"/>
  <c r="AN100" i="3" s="1"/>
  <c r="AM104" i="3"/>
  <c r="AN104" i="3" s="1"/>
  <c r="AM108" i="3"/>
  <c r="AN108" i="3" s="1"/>
  <c r="AM112" i="3"/>
  <c r="AN112" i="3" s="1"/>
  <c r="AM116" i="3"/>
  <c r="AN116" i="3" s="1"/>
  <c r="AM120" i="3"/>
  <c r="AN120" i="3" s="1"/>
  <c r="AM124" i="3"/>
  <c r="AN124" i="3" s="1"/>
  <c r="AM74" i="3"/>
  <c r="AN74" i="3" s="1"/>
  <c r="AM78" i="3"/>
  <c r="AN78" i="3" s="1"/>
  <c r="AM82" i="3"/>
  <c r="AN82" i="3" s="1"/>
  <c r="AM86" i="3"/>
  <c r="AN86" i="3" s="1"/>
  <c r="AM90" i="3"/>
  <c r="AN90" i="3" s="1"/>
  <c r="AM94" i="3"/>
  <c r="AN94" i="3" s="1"/>
  <c r="AM98" i="3"/>
  <c r="AN98" i="3" s="1"/>
  <c r="AM102" i="3"/>
  <c r="AN102" i="3" s="1"/>
  <c r="AM106" i="3"/>
  <c r="AN106" i="3" s="1"/>
  <c r="AM110" i="3"/>
  <c r="AN110" i="3" s="1"/>
  <c r="AM114" i="3"/>
  <c r="AN114" i="3" s="1"/>
  <c r="AM118" i="3"/>
  <c r="AN118" i="3" s="1"/>
  <c r="AM122" i="3"/>
  <c r="AN122" i="3" s="1"/>
  <c r="T137" i="3"/>
  <c r="U86" i="3"/>
  <c r="U48" i="3"/>
  <c r="AO11" i="3" l="1"/>
  <c r="AM126" i="3"/>
  <c r="AN126" i="3" s="1"/>
  <c r="AM13" i="3"/>
  <c r="AN13" i="3" s="1"/>
  <c r="AM21" i="3"/>
  <c r="AN21" i="3" s="1"/>
  <c r="AM19" i="3"/>
  <c r="AN19" i="3" s="1"/>
  <c r="AM22" i="3"/>
  <c r="AN22" i="3" s="1"/>
  <c r="AM18" i="3"/>
  <c r="AN18" i="3" s="1"/>
  <c r="AM14" i="3"/>
  <c r="AN14" i="3" s="1"/>
  <c r="AM10" i="3"/>
  <c r="AN10" i="3" s="1"/>
  <c r="AM17" i="3"/>
  <c r="AN17" i="3" s="1"/>
  <c r="AM15" i="3"/>
  <c r="AN15" i="3" s="1"/>
  <c r="AM23" i="3"/>
  <c r="AN23" i="3" s="1"/>
  <c r="AM24" i="3"/>
  <c r="AN24" i="3" s="1"/>
  <c r="AM20" i="3"/>
  <c r="AN20" i="3" s="1"/>
  <c r="AM16" i="3"/>
  <c r="AN16" i="3" s="1"/>
  <c r="AM12" i="3"/>
  <c r="AN12" i="3" s="1"/>
  <c r="AM11" i="3"/>
  <c r="AC11" i="3" s="1"/>
  <c r="AD11" i="3" s="1"/>
  <c r="X15" i="3"/>
  <c r="AE15" i="3" s="1"/>
  <c r="X19" i="3"/>
  <c r="AE19" i="3" s="1"/>
  <c r="X23" i="3"/>
  <c r="AE23" i="3" s="1"/>
  <c r="X27" i="3"/>
  <c r="AE27" i="3" s="1"/>
  <c r="X31" i="3"/>
  <c r="AE31" i="3" s="1"/>
  <c r="X35" i="3"/>
  <c r="AE35" i="3" s="1"/>
  <c r="X39" i="3"/>
  <c r="AE39" i="3" s="1"/>
  <c r="X43" i="3"/>
  <c r="AE43" i="3" s="1"/>
  <c r="X47" i="3"/>
  <c r="AE47" i="3" s="1"/>
  <c r="U15" i="3"/>
  <c r="V15" i="3" s="1"/>
  <c r="U19" i="3"/>
  <c r="V19" i="3" s="1"/>
  <c r="U23" i="3"/>
  <c r="V23" i="3" s="1"/>
  <c r="U27" i="3"/>
  <c r="V27" i="3" s="1"/>
  <c r="U30" i="3"/>
  <c r="V30" i="3" s="1"/>
  <c r="U32" i="3"/>
  <c r="V32" i="3" s="1"/>
  <c r="U34" i="3"/>
  <c r="V34" i="3" s="1"/>
  <c r="U36" i="3"/>
  <c r="V36" i="3" s="1"/>
  <c r="U38" i="3"/>
  <c r="V38" i="3" s="1"/>
  <c r="U40" i="3"/>
  <c r="V40" i="3" s="1"/>
  <c r="U42" i="3"/>
  <c r="V42" i="3" s="1"/>
  <c r="U44" i="3"/>
  <c r="V44" i="3" s="1"/>
  <c r="U46" i="3"/>
  <c r="V46" i="3" s="1"/>
  <c r="X51" i="3"/>
  <c r="AE51" i="3" s="1"/>
  <c r="X55" i="3"/>
  <c r="AE55" i="3" s="1"/>
  <c r="X59" i="3"/>
  <c r="AE59" i="3" s="1"/>
  <c r="X63" i="3"/>
  <c r="AE63" i="3" s="1"/>
  <c r="X67" i="3"/>
  <c r="AE67" i="3" s="1"/>
  <c r="X71" i="3"/>
  <c r="AE71" i="3" s="1"/>
  <c r="X75" i="3"/>
  <c r="AE75" i="3" s="1"/>
  <c r="X79" i="3"/>
  <c r="AE79" i="3" s="1"/>
  <c r="X83" i="3"/>
  <c r="AE83" i="3" s="1"/>
  <c r="U50" i="3"/>
  <c r="V50" i="3" s="1"/>
  <c r="U52" i="3"/>
  <c r="V52" i="3" s="1"/>
  <c r="U54" i="3"/>
  <c r="V54" i="3" s="1"/>
  <c r="U56" i="3"/>
  <c r="V56" i="3" s="1"/>
  <c r="U58" i="3"/>
  <c r="V58" i="3" s="1"/>
  <c r="U60" i="3"/>
  <c r="V60" i="3" s="1"/>
  <c r="U62" i="3"/>
  <c r="V62" i="3" s="1"/>
  <c r="X87" i="3"/>
  <c r="AE87" i="3" s="1"/>
  <c r="X91" i="3"/>
  <c r="AE91" i="3" s="1"/>
  <c r="X95" i="3"/>
  <c r="AE95" i="3" s="1"/>
  <c r="X99" i="3"/>
  <c r="AE99" i="3" s="1"/>
  <c r="X103" i="3"/>
  <c r="AE103" i="3" s="1"/>
  <c r="X107" i="3"/>
  <c r="AE107" i="3" s="1"/>
  <c r="X111" i="3"/>
  <c r="AE111" i="3" s="1"/>
  <c r="X115" i="3"/>
  <c r="AE115" i="3" s="1"/>
  <c r="X119" i="3"/>
  <c r="AE119" i="3" s="1"/>
  <c r="X123" i="3"/>
  <c r="AE123" i="3" s="1"/>
  <c r="X127" i="3"/>
  <c r="AE127" i="3" s="1"/>
  <c r="V11" i="3"/>
  <c r="U124" i="3"/>
  <c r="V124" i="3" s="1"/>
  <c r="U120" i="3"/>
  <c r="V120" i="3" s="1"/>
  <c r="U116" i="3"/>
  <c r="V116" i="3" s="1"/>
  <c r="U112" i="3"/>
  <c r="V112" i="3" s="1"/>
  <c r="U108" i="3"/>
  <c r="V108" i="3" s="1"/>
  <c r="U104" i="3"/>
  <c r="V104" i="3" s="1"/>
  <c r="U100" i="3"/>
  <c r="V100" i="3" s="1"/>
  <c r="U96" i="3"/>
  <c r="V96" i="3" s="1"/>
  <c r="U92" i="3"/>
  <c r="V92" i="3" s="1"/>
  <c r="U88" i="3"/>
  <c r="V88" i="3" s="1"/>
  <c r="U84" i="3"/>
  <c r="V84" i="3" s="1"/>
  <c r="U80" i="3"/>
  <c r="V80" i="3" s="1"/>
  <c r="U76" i="3"/>
  <c r="V76" i="3" s="1"/>
  <c r="U72" i="3"/>
  <c r="V72" i="3" s="1"/>
  <c r="U68" i="3"/>
  <c r="V68" i="3" s="1"/>
  <c r="U64" i="3"/>
  <c r="V64" i="3" s="1"/>
  <c r="U126" i="3"/>
  <c r="V126" i="3" s="1"/>
  <c r="U122" i="3"/>
  <c r="V122" i="3" s="1"/>
  <c r="U118" i="3"/>
  <c r="V118" i="3" s="1"/>
  <c r="U114" i="3"/>
  <c r="V114" i="3" s="1"/>
  <c r="U110" i="3"/>
  <c r="V110" i="3" s="1"/>
  <c r="U106" i="3"/>
  <c r="V106" i="3" s="1"/>
  <c r="U102" i="3"/>
  <c r="V102" i="3" s="1"/>
  <c r="U98" i="3"/>
  <c r="V98" i="3" s="1"/>
  <c r="U94" i="3"/>
  <c r="V94" i="3" s="1"/>
  <c r="U90" i="3"/>
  <c r="V90" i="3" s="1"/>
  <c r="U82" i="3"/>
  <c r="V82" i="3" s="1"/>
  <c r="U78" i="3"/>
  <c r="V78" i="3" s="1"/>
  <c r="U74" i="3"/>
  <c r="V74" i="3" s="1"/>
  <c r="U70" i="3"/>
  <c r="V70" i="3" s="1"/>
  <c r="U66" i="3"/>
  <c r="V66" i="3" s="1"/>
  <c r="X14" i="3"/>
  <c r="AE14" i="3" s="1"/>
  <c r="X16" i="3"/>
  <c r="AE16" i="3" s="1"/>
  <c r="X18" i="3"/>
  <c r="AE18" i="3" s="1"/>
  <c r="X20" i="3"/>
  <c r="AE20" i="3" s="1"/>
  <c r="X22" i="3"/>
  <c r="AE22" i="3" s="1"/>
  <c r="X24" i="3"/>
  <c r="AE24" i="3" s="1"/>
  <c r="X26" i="3"/>
  <c r="AE26" i="3" s="1"/>
  <c r="X28" i="3"/>
  <c r="AE28" i="3" s="1"/>
  <c r="X30" i="3"/>
  <c r="AE30" i="3" s="1"/>
  <c r="X32" i="3"/>
  <c r="AE32" i="3" s="1"/>
  <c r="X34" i="3"/>
  <c r="AE34" i="3" s="1"/>
  <c r="X36" i="3"/>
  <c r="AE36" i="3" s="1"/>
  <c r="X38" i="3"/>
  <c r="AE38" i="3" s="1"/>
  <c r="X40" i="3"/>
  <c r="AE40" i="3" s="1"/>
  <c r="X42" i="3"/>
  <c r="AE42" i="3" s="1"/>
  <c r="X44" i="3"/>
  <c r="AE44" i="3" s="1"/>
  <c r="X46" i="3"/>
  <c r="AE46" i="3" s="1"/>
  <c r="X48" i="3"/>
  <c r="AE48" i="3" s="1"/>
  <c r="X50" i="3"/>
  <c r="AE50" i="3" s="1"/>
  <c r="X52" i="3"/>
  <c r="AE52" i="3" s="1"/>
  <c r="X54" i="3"/>
  <c r="AE54" i="3" s="1"/>
  <c r="X56" i="3"/>
  <c r="AE56" i="3" s="1"/>
  <c r="X58" i="3"/>
  <c r="AE58" i="3" s="1"/>
  <c r="X60" i="3"/>
  <c r="AE60" i="3" s="1"/>
  <c r="X62" i="3"/>
  <c r="AE62" i="3" s="1"/>
  <c r="X64" i="3"/>
  <c r="AE64" i="3" s="1"/>
  <c r="X66" i="3"/>
  <c r="AE66" i="3" s="1"/>
  <c r="X68" i="3"/>
  <c r="AE68" i="3" s="1"/>
  <c r="X70" i="3"/>
  <c r="AE70" i="3" s="1"/>
  <c r="X72" i="3"/>
  <c r="AE72" i="3" s="1"/>
  <c r="X74" i="3"/>
  <c r="AE74" i="3" s="1"/>
  <c r="X76" i="3"/>
  <c r="AE76" i="3" s="1"/>
  <c r="X78" i="3"/>
  <c r="AE78" i="3" s="1"/>
  <c r="X80" i="3"/>
  <c r="AE80" i="3" s="1"/>
  <c r="X82" i="3"/>
  <c r="AE82" i="3" s="1"/>
  <c r="X84" i="3"/>
  <c r="AE84" i="3" s="1"/>
  <c r="X86" i="3"/>
  <c r="AE86" i="3" s="1"/>
  <c r="X88" i="3"/>
  <c r="AE88" i="3" s="1"/>
  <c r="X90" i="3"/>
  <c r="AE90" i="3" s="1"/>
  <c r="X92" i="3"/>
  <c r="AE92" i="3" s="1"/>
  <c r="X94" i="3"/>
  <c r="AE94" i="3" s="1"/>
  <c r="X96" i="3"/>
  <c r="AE96" i="3" s="1"/>
  <c r="X98" i="3"/>
  <c r="AE98" i="3" s="1"/>
  <c r="X100" i="3"/>
  <c r="AE100" i="3" s="1"/>
  <c r="X102" i="3"/>
  <c r="AE102" i="3" s="1"/>
  <c r="X104" i="3"/>
  <c r="AE104" i="3" s="1"/>
  <c r="X106" i="3"/>
  <c r="AE106" i="3" s="1"/>
  <c r="X108" i="3"/>
  <c r="AE108" i="3" s="1"/>
  <c r="X110" i="3"/>
  <c r="AE110" i="3" s="1"/>
  <c r="X112" i="3"/>
  <c r="AE112" i="3" s="1"/>
  <c r="X114" i="3"/>
  <c r="AE114" i="3" s="1"/>
  <c r="X116" i="3"/>
  <c r="AE116" i="3" s="1"/>
  <c r="X118" i="3"/>
  <c r="AE118" i="3" s="1"/>
  <c r="X120" i="3"/>
  <c r="AE120" i="3" s="1"/>
  <c r="X122" i="3"/>
  <c r="AE122" i="3" s="1"/>
  <c r="X124" i="3"/>
  <c r="AE124" i="3" s="1"/>
  <c r="X126" i="3"/>
  <c r="AE126" i="3" s="1"/>
  <c r="U12" i="3"/>
  <c r="V12" i="3" s="1"/>
  <c r="U14" i="3"/>
  <c r="V14" i="3" s="1"/>
  <c r="U16" i="3"/>
  <c r="V16" i="3" s="1"/>
  <c r="U18" i="3"/>
  <c r="V18" i="3" s="1"/>
  <c r="U20" i="3"/>
  <c r="V20" i="3" s="1"/>
  <c r="U22" i="3"/>
  <c r="V22" i="3" s="1"/>
  <c r="U24" i="3"/>
  <c r="V24" i="3" s="1"/>
  <c r="U26" i="3"/>
  <c r="V26" i="3" s="1"/>
  <c r="U28" i="3"/>
  <c r="V28" i="3" s="1"/>
  <c r="U127" i="3"/>
  <c r="V127" i="3" s="1"/>
  <c r="U125" i="3"/>
  <c r="V125" i="3" s="1"/>
  <c r="U123" i="3"/>
  <c r="V123" i="3" s="1"/>
  <c r="U121" i="3"/>
  <c r="V121" i="3" s="1"/>
  <c r="U119" i="3"/>
  <c r="V119" i="3" s="1"/>
  <c r="U117" i="3"/>
  <c r="V117" i="3" s="1"/>
  <c r="U115" i="3"/>
  <c r="V115" i="3" s="1"/>
  <c r="U113" i="3"/>
  <c r="V113" i="3" s="1"/>
  <c r="U111" i="3"/>
  <c r="V111" i="3" s="1"/>
  <c r="U109" i="3"/>
  <c r="V109" i="3" s="1"/>
  <c r="U107" i="3"/>
  <c r="V107" i="3" s="1"/>
  <c r="U105" i="3"/>
  <c r="V105" i="3" s="1"/>
  <c r="U103" i="3"/>
  <c r="V103" i="3" s="1"/>
  <c r="U101" i="3"/>
  <c r="V101" i="3" s="1"/>
  <c r="U99" i="3"/>
  <c r="V99" i="3" s="1"/>
  <c r="U97" i="3"/>
  <c r="V97" i="3" s="1"/>
  <c r="U95" i="3"/>
  <c r="V95" i="3" s="1"/>
  <c r="U93" i="3"/>
  <c r="V93" i="3" s="1"/>
  <c r="U91" i="3"/>
  <c r="V91" i="3" s="1"/>
  <c r="U89" i="3"/>
  <c r="V89" i="3" s="1"/>
  <c r="U87" i="3"/>
  <c r="V87" i="3" s="1"/>
  <c r="U85" i="3"/>
  <c r="V85" i="3" s="1"/>
  <c r="U83" i="3"/>
  <c r="V83" i="3" s="1"/>
  <c r="U81" i="3"/>
  <c r="V81" i="3" s="1"/>
  <c r="U79" i="3"/>
  <c r="V79" i="3" s="1"/>
  <c r="U77" i="3"/>
  <c r="V77" i="3" s="1"/>
  <c r="U75" i="3"/>
  <c r="V75" i="3" s="1"/>
  <c r="U73" i="3"/>
  <c r="V73" i="3" s="1"/>
  <c r="U71" i="3"/>
  <c r="V71" i="3" s="1"/>
  <c r="U69" i="3"/>
  <c r="V69" i="3" s="1"/>
  <c r="U67" i="3"/>
  <c r="V67" i="3" s="1"/>
  <c r="U65" i="3"/>
  <c r="V65" i="3" s="1"/>
  <c r="U63" i="3"/>
  <c r="V63" i="3" s="1"/>
  <c r="U61" i="3"/>
  <c r="V61" i="3" s="1"/>
  <c r="U59" i="3"/>
  <c r="V59" i="3" s="1"/>
  <c r="U57" i="3"/>
  <c r="V57" i="3" s="1"/>
  <c r="U55" i="3"/>
  <c r="V55" i="3" s="1"/>
  <c r="U53" i="3"/>
  <c r="V53" i="3" s="1"/>
  <c r="U51" i="3"/>
  <c r="V51" i="3" s="1"/>
  <c r="U49" i="3"/>
  <c r="V49" i="3" s="1"/>
  <c r="U47" i="3"/>
  <c r="V47" i="3" s="1"/>
  <c r="U45" i="3"/>
  <c r="V45" i="3" s="1"/>
  <c r="U43" i="3"/>
  <c r="V43" i="3" s="1"/>
  <c r="U41" i="3"/>
  <c r="V41" i="3" s="1"/>
  <c r="U39" i="3"/>
  <c r="V39" i="3" s="1"/>
  <c r="U37" i="3"/>
  <c r="V37" i="3" s="1"/>
  <c r="U35" i="3"/>
  <c r="V35" i="3" s="1"/>
  <c r="U33" i="3"/>
  <c r="V33" i="3" s="1"/>
  <c r="U31" i="3"/>
  <c r="V31" i="3" s="1"/>
  <c r="U29" i="3"/>
  <c r="V29" i="3" s="1"/>
  <c r="U25" i="3"/>
  <c r="V25" i="3" s="1"/>
  <c r="U21" i="3"/>
  <c r="V21" i="3" s="1"/>
  <c r="U17" i="3"/>
  <c r="V17" i="3" s="1"/>
  <c r="U13" i="3"/>
  <c r="V13" i="3" s="1"/>
  <c r="X125" i="3"/>
  <c r="AE125" i="3" s="1"/>
  <c r="X121" i="3"/>
  <c r="AE121" i="3" s="1"/>
  <c r="X117" i="3"/>
  <c r="AE117" i="3" s="1"/>
  <c r="X113" i="3"/>
  <c r="AE113" i="3" s="1"/>
  <c r="X109" i="3"/>
  <c r="AE109" i="3" s="1"/>
  <c r="X105" i="3"/>
  <c r="AE105" i="3" s="1"/>
  <c r="X101" i="3"/>
  <c r="AE101" i="3" s="1"/>
  <c r="X97" i="3"/>
  <c r="AE97" i="3" s="1"/>
  <c r="X93" i="3"/>
  <c r="AE93" i="3" s="1"/>
  <c r="X89" i="3"/>
  <c r="AE89" i="3" s="1"/>
  <c r="X85" i="3"/>
  <c r="AE85" i="3" s="1"/>
  <c r="X81" i="3"/>
  <c r="AE81" i="3" s="1"/>
  <c r="X77" i="3"/>
  <c r="AE77" i="3" s="1"/>
  <c r="X73" i="3"/>
  <c r="AE73" i="3" s="1"/>
  <c r="X69" i="3"/>
  <c r="AE69" i="3" s="1"/>
  <c r="X65" i="3"/>
  <c r="AE65" i="3" s="1"/>
  <c r="X61" i="3"/>
  <c r="AE61" i="3" s="1"/>
  <c r="X57" i="3"/>
  <c r="AE57" i="3" s="1"/>
  <c r="X53" i="3"/>
  <c r="AE53" i="3" s="1"/>
  <c r="X49" i="3"/>
  <c r="AE49" i="3" s="1"/>
  <c r="X45" i="3"/>
  <c r="AE45" i="3" s="1"/>
  <c r="X41" i="3"/>
  <c r="AE41" i="3" s="1"/>
  <c r="X37" i="3"/>
  <c r="AE37" i="3" s="1"/>
  <c r="X33" i="3"/>
  <c r="AE33" i="3" s="1"/>
  <c r="X29" i="3"/>
  <c r="AE29" i="3" s="1"/>
  <c r="X25" i="3"/>
  <c r="AE25" i="3" s="1"/>
  <c r="X21" i="3"/>
  <c r="AE21" i="3" s="1"/>
  <c r="X17" i="3"/>
  <c r="AE17" i="3" s="1"/>
  <c r="X13" i="3"/>
  <c r="AE13" i="3" s="1"/>
  <c r="V48" i="3"/>
  <c r="V86" i="3"/>
  <c r="AQ10" i="3" l="1"/>
  <c r="AN11" i="3"/>
  <c r="AF11" i="3"/>
  <c r="W11" i="3"/>
  <c r="W12" i="3" s="1"/>
  <c r="W13" i="3" s="1"/>
  <c r="W14" i="3" s="1"/>
  <c r="W15" i="3" s="1"/>
  <c r="W16" i="3" s="1"/>
  <c r="W17" i="3" s="1"/>
  <c r="W18" i="3" s="1"/>
  <c r="W19" i="3" s="1"/>
  <c r="W20" i="3" s="1"/>
  <c r="W21" i="3" s="1"/>
  <c r="W22" i="3" s="1"/>
  <c r="W23" i="3" s="1"/>
  <c r="W24" i="3" s="1"/>
  <c r="W25" i="3" s="1"/>
  <c r="W26" i="3" s="1"/>
  <c r="W27" i="3" s="1"/>
  <c r="W28" i="3" s="1"/>
  <c r="W29" i="3" s="1"/>
  <c r="W30" i="3" s="1"/>
  <c r="W31" i="3" s="1"/>
  <c r="W32" i="3" s="1"/>
  <c r="W33" i="3" s="1"/>
  <c r="W34" i="3" s="1"/>
  <c r="W35" i="3" s="1"/>
  <c r="W36" i="3" s="1"/>
  <c r="W37" i="3" s="1"/>
  <c r="W38" i="3" s="1"/>
  <c r="W39" i="3" s="1"/>
  <c r="W40" i="3" s="1"/>
  <c r="W41" i="3" s="1"/>
  <c r="W42" i="3" s="1"/>
  <c r="W43" i="3" s="1"/>
  <c r="W44" i="3" s="1"/>
  <c r="W45" i="3" s="1"/>
  <c r="W46" i="3" s="1"/>
  <c r="W47" i="3" s="1"/>
  <c r="W48" i="3" s="1"/>
  <c r="W49" i="3" s="1"/>
  <c r="W50" i="3" s="1"/>
  <c r="W51" i="3" s="1"/>
  <c r="W52" i="3" s="1"/>
  <c r="W53" i="3" s="1"/>
  <c r="W54" i="3" s="1"/>
  <c r="W55" i="3" s="1"/>
  <c r="W56" i="3" s="1"/>
  <c r="W57" i="3" s="1"/>
  <c r="W58" i="3" s="1"/>
  <c r="W59" i="3" s="1"/>
  <c r="W60" i="3" s="1"/>
  <c r="W61" i="3" s="1"/>
  <c r="W62" i="3" s="1"/>
  <c r="W63" i="3" s="1"/>
  <c r="W64" i="3" s="1"/>
  <c r="W65" i="3" s="1"/>
  <c r="W66" i="3" s="1"/>
  <c r="W67" i="3" s="1"/>
  <c r="W68" i="3" s="1"/>
  <c r="W69" i="3" s="1"/>
  <c r="W70" i="3" s="1"/>
  <c r="W71" i="3" s="1"/>
  <c r="W72" i="3" s="1"/>
  <c r="W73" i="3" s="1"/>
  <c r="W74" i="3" s="1"/>
  <c r="W75" i="3" s="1"/>
  <c r="W76" i="3" s="1"/>
  <c r="W77" i="3" s="1"/>
  <c r="W78" i="3" s="1"/>
  <c r="W79" i="3" s="1"/>
  <c r="W80" i="3" s="1"/>
  <c r="W81" i="3" s="1"/>
  <c r="W82" i="3" s="1"/>
  <c r="W83" i="3" s="1"/>
  <c r="W84" i="3" s="1"/>
  <c r="W85" i="3" s="1"/>
  <c r="W86" i="3" s="1"/>
  <c r="W87" i="3" s="1"/>
  <c r="W88" i="3" s="1"/>
  <c r="W89" i="3" s="1"/>
  <c r="W90" i="3" s="1"/>
  <c r="W91" i="3" s="1"/>
  <c r="W92" i="3" s="1"/>
  <c r="W93" i="3" s="1"/>
  <c r="W94" i="3" s="1"/>
  <c r="W95" i="3" s="1"/>
  <c r="W96" i="3" s="1"/>
  <c r="W97" i="3" s="1"/>
  <c r="W98" i="3" s="1"/>
  <c r="W99" i="3" s="1"/>
  <c r="W100" i="3" s="1"/>
  <c r="W101" i="3" s="1"/>
  <c r="W102" i="3" s="1"/>
  <c r="W103" i="3" s="1"/>
  <c r="W104" i="3" s="1"/>
  <c r="W105" i="3" s="1"/>
  <c r="W106" i="3" s="1"/>
  <c r="W107" i="3" s="1"/>
  <c r="W108" i="3" s="1"/>
  <c r="W109" i="3" s="1"/>
  <c r="W110" i="3" s="1"/>
  <c r="W111" i="3" s="1"/>
  <c r="W112" i="3" s="1"/>
  <c r="W113" i="3" s="1"/>
  <c r="W114" i="3" s="1"/>
  <c r="W115" i="3" s="1"/>
  <c r="W116" i="3" s="1"/>
  <c r="W117" i="3" s="1"/>
  <c r="W118" i="3" s="1"/>
  <c r="W119" i="3" s="1"/>
  <c r="W120" i="3" s="1"/>
  <c r="W121" i="3" s="1"/>
  <c r="W122" i="3" s="1"/>
  <c r="W123" i="3" s="1"/>
  <c r="W124" i="3" s="1"/>
  <c r="W125" i="3" s="1"/>
  <c r="W126" i="3" s="1"/>
  <c r="W127" i="3" s="1"/>
  <c r="W128" i="3" s="1"/>
  <c r="W129" i="3" s="1"/>
  <c r="W130" i="3" s="1"/>
  <c r="W131" i="3" s="1"/>
  <c r="AG11" i="3" l="1"/>
  <c r="AR11" i="3"/>
  <c r="W134" i="3" l="1"/>
  <c r="O12" i="3" l="1"/>
  <c r="O13" i="3"/>
  <c r="O14" i="3"/>
  <c r="O15" i="3"/>
  <c r="O16" i="3"/>
  <c r="P16" i="3" s="1"/>
  <c r="Q16" i="3" s="1"/>
  <c r="O17" i="3"/>
  <c r="P17" i="3" s="1"/>
  <c r="Q17" i="3" s="1"/>
  <c r="O18" i="3"/>
  <c r="O19" i="3"/>
  <c r="P19" i="3" s="1"/>
  <c r="Q19" i="3" s="1"/>
  <c r="O20" i="3"/>
  <c r="P20" i="3" s="1"/>
  <c r="Q20" i="3" s="1"/>
  <c r="O21" i="3"/>
  <c r="O22" i="3"/>
  <c r="O23" i="3"/>
  <c r="O24" i="3"/>
  <c r="O25" i="3"/>
  <c r="O26" i="3"/>
  <c r="P26" i="3" s="1"/>
  <c r="Q26" i="3" s="1"/>
  <c r="O27" i="3"/>
  <c r="P27" i="3" s="1"/>
  <c r="Q27" i="3" s="1"/>
  <c r="O28" i="3"/>
  <c r="P28" i="3" s="1"/>
  <c r="Q28" i="3" s="1"/>
  <c r="O29" i="3"/>
  <c r="O30" i="3"/>
  <c r="O31" i="3"/>
  <c r="P31" i="3" s="1"/>
  <c r="Q31" i="3" s="1"/>
  <c r="O32" i="3"/>
  <c r="O33" i="3"/>
  <c r="O34" i="3"/>
  <c r="P34" i="3" s="1"/>
  <c r="Q34" i="3" s="1"/>
  <c r="O35" i="3"/>
  <c r="O36" i="3"/>
  <c r="O37" i="3"/>
  <c r="P37" i="3" s="1"/>
  <c r="Q37" i="3" s="1"/>
  <c r="O38" i="3"/>
  <c r="P38" i="3" s="1"/>
  <c r="Q38" i="3" s="1"/>
  <c r="O39" i="3"/>
  <c r="O40" i="3"/>
  <c r="P40" i="3" s="1"/>
  <c r="Q40" i="3" s="1"/>
  <c r="O41" i="3"/>
  <c r="O42" i="3"/>
  <c r="P42" i="3" s="1"/>
  <c r="Q42" i="3" s="1"/>
  <c r="O43" i="3"/>
  <c r="O44" i="3"/>
  <c r="P44" i="3" s="1"/>
  <c r="Q44" i="3" s="1"/>
  <c r="O45" i="3"/>
  <c r="O46" i="3"/>
  <c r="P46" i="3" s="1"/>
  <c r="Q46" i="3" s="1"/>
  <c r="O47" i="3"/>
  <c r="O49" i="3"/>
  <c r="O51" i="3"/>
  <c r="L134" i="3" l="1"/>
  <c r="O11" i="3"/>
  <c r="P51" i="3"/>
  <c r="Q51" i="3" s="1"/>
  <c r="P45" i="3"/>
  <c r="Q45" i="3" s="1"/>
  <c r="P39" i="3"/>
  <c r="Q39" i="3" s="1"/>
  <c r="P36" i="3"/>
  <c r="Q36" i="3" s="1"/>
  <c r="P35" i="3"/>
  <c r="Q35" i="3" s="1"/>
  <c r="P33" i="3"/>
  <c r="Q33" i="3" s="1"/>
  <c r="P25" i="3"/>
  <c r="Q25" i="3" s="1"/>
  <c r="P24" i="3"/>
  <c r="Q24" i="3" s="1"/>
  <c r="P23" i="3"/>
  <c r="Q23" i="3" s="1"/>
  <c r="P21" i="3"/>
  <c r="Q21" i="3" s="1"/>
  <c r="P12" i="3"/>
  <c r="Q12" i="3" s="1"/>
  <c r="P49" i="3"/>
  <c r="Q49" i="3" s="1"/>
  <c r="P47" i="3"/>
  <c r="Q47" i="3" s="1"/>
  <c r="P43" i="3"/>
  <c r="Q43" i="3" s="1"/>
  <c r="P41" i="3"/>
  <c r="Q41" i="3" s="1"/>
  <c r="P22" i="3"/>
  <c r="Q22" i="3" s="1"/>
  <c r="P14" i="3"/>
  <c r="Q14" i="3" s="1"/>
  <c r="P32" i="3"/>
  <c r="Q32" i="3" s="1"/>
  <c r="P30" i="3"/>
  <c r="Q30" i="3" s="1"/>
  <c r="P29" i="3"/>
  <c r="Q29" i="3" s="1"/>
  <c r="P18" i="3"/>
  <c r="Q18" i="3" s="1"/>
  <c r="P13" i="3"/>
  <c r="Q13" i="3" s="1"/>
  <c r="P15" i="3"/>
  <c r="Q15" i="3" s="1"/>
  <c r="R11" i="3" l="1"/>
  <c r="O134" i="3"/>
  <c r="P11" i="3"/>
  <c r="Q11" i="3" s="1"/>
  <c r="AZ11" i="3" l="1"/>
  <c r="AZ12" i="3" s="1"/>
  <c r="AZ13" i="3" s="1"/>
  <c r="AZ14" i="3" s="1"/>
  <c r="AZ15" i="3" s="1"/>
  <c r="AZ16" i="3" s="1"/>
  <c r="AZ17" i="3" s="1"/>
  <c r="AZ18" i="3" s="1"/>
  <c r="AZ19" i="3" s="1"/>
  <c r="AZ20" i="3" s="1"/>
  <c r="AZ21" i="3" s="1"/>
  <c r="AZ22" i="3" s="1"/>
  <c r="AZ23" i="3" s="1"/>
  <c r="AZ24" i="3" s="1"/>
  <c r="AZ25" i="3" s="1"/>
  <c r="AZ26" i="3" s="1"/>
  <c r="AZ27" i="3" s="1"/>
  <c r="AZ28" i="3" s="1"/>
  <c r="AZ29" i="3" s="1"/>
  <c r="AZ30" i="3" s="1"/>
  <c r="AZ31" i="3" s="1"/>
  <c r="AZ32" i="3" s="1"/>
  <c r="AZ33" i="3" s="1"/>
  <c r="AZ34" i="3" s="1"/>
  <c r="AZ35" i="3" s="1"/>
  <c r="AZ36" i="3" s="1"/>
  <c r="AZ37" i="3" s="1"/>
  <c r="AZ38" i="3" s="1"/>
  <c r="AZ39" i="3" s="1"/>
  <c r="AZ40" i="3" s="1"/>
  <c r="AZ41" i="3" s="1"/>
  <c r="AZ42" i="3" s="1"/>
  <c r="AZ43" i="3" s="1"/>
  <c r="AZ44" i="3" s="1"/>
  <c r="AZ45" i="3" s="1"/>
  <c r="AZ46" i="3" s="1"/>
  <c r="AZ47" i="3" s="1"/>
  <c r="AZ48" i="3" s="1"/>
  <c r="AZ49" i="3" s="1"/>
  <c r="AZ50" i="3" s="1"/>
  <c r="AZ51" i="3" s="1"/>
  <c r="AZ52" i="3" s="1"/>
  <c r="AZ53" i="3" s="1"/>
  <c r="AZ54" i="3" s="1"/>
  <c r="AZ55" i="3" s="1"/>
  <c r="AZ56" i="3" s="1"/>
  <c r="AZ57" i="3" s="1"/>
  <c r="AZ58" i="3" s="1"/>
  <c r="AZ59" i="3" s="1"/>
  <c r="AZ60" i="3" s="1"/>
  <c r="AZ61" i="3" s="1"/>
  <c r="AZ62" i="3" s="1"/>
  <c r="AZ63" i="3" s="1"/>
  <c r="AZ64" i="3" s="1"/>
  <c r="AZ65" i="3" s="1"/>
  <c r="AZ66" i="3" s="1"/>
  <c r="AZ67" i="3" s="1"/>
  <c r="AZ68" i="3" s="1"/>
  <c r="AZ69" i="3" s="1"/>
  <c r="AZ70" i="3" s="1"/>
  <c r="AZ71" i="3" s="1"/>
  <c r="AZ72" i="3" s="1"/>
  <c r="AZ73" i="3" s="1"/>
  <c r="AZ74" i="3" s="1"/>
  <c r="AZ75" i="3" s="1"/>
  <c r="AZ76" i="3" s="1"/>
  <c r="AZ77" i="3" s="1"/>
  <c r="AZ78" i="3" s="1"/>
  <c r="AZ79" i="3" s="1"/>
  <c r="AZ80" i="3" s="1"/>
  <c r="AZ81" i="3" s="1"/>
  <c r="AZ82" i="3" s="1"/>
  <c r="AZ83" i="3" s="1"/>
  <c r="AZ84" i="3" s="1"/>
  <c r="AZ85" i="3" s="1"/>
  <c r="AZ86" i="3" s="1"/>
  <c r="AZ87" i="3" s="1"/>
  <c r="AZ88" i="3" s="1"/>
  <c r="AZ89" i="3" s="1"/>
  <c r="AZ90" i="3" s="1"/>
  <c r="AZ91" i="3" s="1"/>
  <c r="AZ92" i="3" s="1"/>
  <c r="AZ93" i="3" s="1"/>
  <c r="AZ94" i="3" s="1"/>
  <c r="AZ95" i="3" s="1"/>
  <c r="AZ96" i="3" s="1"/>
  <c r="AZ97" i="3" s="1"/>
  <c r="AZ98" i="3" s="1"/>
  <c r="AZ99" i="3" s="1"/>
  <c r="AZ100" i="3" s="1"/>
  <c r="AZ101" i="3" s="1"/>
  <c r="AZ102" i="3" s="1"/>
  <c r="AZ103" i="3" s="1"/>
  <c r="AZ104" i="3" s="1"/>
  <c r="AZ105" i="3" s="1"/>
  <c r="AZ106" i="3" s="1"/>
  <c r="AZ107" i="3" s="1"/>
  <c r="AZ108" i="3" s="1"/>
  <c r="AZ109" i="3" s="1"/>
  <c r="AZ110" i="3" s="1"/>
  <c r="AZ111" i="3" s="1"/>
  <c r="AZ112" i="3" s="1"/>
  <c r="AZ113" i="3" s="1"/>
  <c r="AZ114" i="3" s="1"/>
  <c r="AZ115" i="3" s="1"/>
  <c r="AZ116" i="3" s="1"/>
  <c r="AZ117" i="3" s="1"/>
  <c r="AZ118" i="3" s="1"/>
  <c r="AZ119" i="3" s="1"/>
  <c r="AZ120" i="3" s="1"/>
  <c r="AZ121" i="3" s="1"/>
  <c r="AZ122" i="3" s="1"/>
  <c r="AZ123" i="3" s="1"/>
  <c r="AZ124" i="3" s="1"/>
  <c r="AZ125" i="3" s="1"/>
  <c r="AZ126" i="3" s="1"/>
  <c r="AZ127" i="3" s="1"/>
  <c r="AS11" i="3"/>
  <c r="AT11" i="3" s="1"/>
  <c r="P134" i="3"/>
  <c r="AP11" i="3"/>
  <c r="S11" i="3"/>
  <c r="T11" i="3" s="1"/>
  <c r="R12" i="3"/>
  <c r="AX11" i="3" l="1"/>
  <c r="AY11" i="3" s="1"/>
  <c r="BA11" i="3"/>
  <c r="BB11" i="3" s="1"/>
  <c r="AZ128" i="3"/>
  <c r="AZ129" i="3" s="1"/>
  <c r="AZ130" i="3" s="1"/>
  <c r="AZ131" i="3" s="1"/>
  <c r="AZ134" i="3" s="1"/>
  <c r="S12" i="3"/>
  <c r="T12" i="3" s="1"/>
  <c r="R13" i="3"/>
  <c r="AQ11" i="3"/>
  <c r="AO12" i="3"/>
  <c r="AU11" i="3"/>
  <c r="AW11" i="3" l="1"/>
  <c r="AV11" i="3"/>
  <c r="AC12" i="3"/>
  <c r="S13" i="3"/>
  <c r="T13" i="3" s="1"/>
  <c r="R14" i="3"/>
  <c r="S14" i="3" l="1"/>
  <c r="T14" i="3" s="1"/>
  <c r="R15" i="3"/>
  <c r="AD12" i="3"/>
  <c r="AF12" i="3"/>
  <c r="AG12" i="3" l="1"/>
  <c r="AR12" i="3"/>
  <c r="AS12" i="3"/>
  <c r="AP12" i="3"/>
  <c r="S15" i="3"/>
  <c r="T15" i="3" s="1"/>
  <c r="R16" i="3"/>
  <c r="AT12" i="3" l="1"/>
  <c r="BA12" i="3"/>
  <c r="BB12" i="3" s="1"/>
  <c r="AU12" i="3"/>
  <c r="AX12" i="3"/>
  <c r="AY12" i="3" s="1"/>
  <c r="S16" i="3"/>
  <c r="T16" i="3" s="1"/>
  <c r="R17" i="3"/>
  <c r="AQ12" i="3"/>
  <c r="AO13" i="3"/>
  <c r="AW12" i="3" l="1"/>
  <c r="AV12" i="3"/>
  <c r="AC13" i="3"/>
  <c r="S17" i="3"/>
  <c r="T17" i="3" s="1"/>
  <c r="R18" i="3"/>
  <c r="AD13" i="3" l="1"/>
  <c r="AF13" i="3"/>
  <c r="S18" i="3"/>
  <c r="T18" i="3" s="1"/>
  <c r="R19" i="3"/>
  <c r="S19" i="3" l="1"/>
  <c r="T19" i="3" s="1"/>
  <c r="R20" i="3"/>
  <c r="AR13" i="3"/>
  <c r="AG13" i="3"/>
  <c r="AS13" i="3"/>
  <c r="AP13" i="3"/>
  <c r="AT13" i="3" l="1"/>
  <c r="BA13" i="3"/>
  <c r="BB13" i="3" s="1"/>
  <c r="AU13" i="3"/>
  <c r="AX13" i="3"/>
  <c r="AY13" i="3" s="1"/>
  <c r="AQ13" i="3"/>
  <c r="AO14" i="3"/>
  <c r="S20" i="3"/>
  <c r="T20" i="3" s="1"/>
  <c r="R21" i="3"/>
  <c r="AW13" i="3" l="1"/>
  <c r="AV13" i="3"/>
  <c r="S21" i="3"/>
  <c r="T21" i="3" s="1"/>
  <c r="R22" i="3"/>
  <c r="AC14" i="3"/>
  <c r="AF14" i="3" l="1"/>
  <c r="AD14" i="3"/>
  <c r="S22" i="3"/>
  <c r="T22" i="3" s="1"/>
  <c r="R23" i="3"/>
  <c r="AG14" i="3" l="1"/>
  <c r="AR14" i="3"/>
  <c r="AS14" i="3"/>
  <c r="AP14" i="3"/>
  <c r="S23" i="3"/>
  <c r="T23" i="3" s="1"/>
  <c r="R24" i="3"/>
  <c r="AT14" i="3" l="1"/>
  <c r="AU14" i="3"/>
  <c r="BA14" i="3"/>
  <c r="BB14" i="3" s="1"/>
  <c r="AX14" i="3"/>
  <c r="AY14" i="3" s="1"/>
  <c r="S24" i="3"/>
  <c r="T24" i="3" s="1"/>
  <c r="R25" i="3"/>
  <c r="AQ14" i="3"/>
  <c r="AO15" i="3"/>
  <c r="AW14" i="3" l="1"/>
  <c r="AV14" i="3"/>
  <c r="AC15" i="3"/>
  <c r="S25" i="3"/>
  <c r="T25" i="3" s="1"/>
  <c r="R26" i="3"/>
  <c r="AF15" i="3" l="1"/>
  <c r="AD15" i="3"/>
  <c r="S26" i="3"/>
  <c r="T26" i="3" s="1"/>
  <c r="R27" i="3"/>
  <c r="S27" i="3" l="1"/>
  <c r="T27" i="3" s="1"/>
  <c r="R28" i="3"/>
  <c r="AR15" i="3"/>
  <c r="AG15" i="3"/>
  <c r="AS15" i="3"/>
  <c r="AP15" i="3"/>
  <c r="AQ15" i="3" l="1"/>
  <c r="AO16" i="3"/>
  <c r="S28" i="3"/>
  <c r="T28" i="3" s="1"/>
  <c r="R29" i="3"/>
  <c r="AT15" i="3"/>
  <c r="BA15" i="3"/>
  <c r="BB15" i="3" s="1"/>
  <c r="AU15" i="3"/>
  <c r="AX15" i="3"/>
  <c r="AY15" i="3" s="1"/>
  <c r="AW15" i="3" l="1"/>
  <c r="AV15" i="3"/>
  <c r="S29" i="3"/>
  <c r="T29" i="3" s="1"/>
  <c r="R30" i="3"/>
  <c r="AC16" i="3"/>
  <c r="S30" i="3" l="1"/>
  <c r="T30" i="3" s="1"/>
  <c r="R31" i="3"/>
  <c r="AD16" i="3"/>
  <c r="AF16" i="3"/>
  <c r="AG16" i="3" l="1"/>
  <c r="AR16" i="3"/>
  <c r="AS16" i="3"/>
  <c r="AP16" i="3"/>
  <c r="S31" i="3"/>
  <c r="T31" i="3" s="1"/>
  <c r="R32" i="3"/>
  <c r="S32" i="3" l="1"/>
  <c r="T32" i="3" s="1"/>
  <c r="R33" i="3"/>
  <c r="AQ16" i="3"/>
  <c r="AO17" i="3"/>
  <c r="AT16" i="3"/>
  <c r="BA16" i="3"/>
  <c r="BB16" i="3" s="1"/>
  <c r="AU16" i="3"/>
  <c r="AX16" i="3"/>
  <c r="AY16" i="3" s="1"/>
  <c r="AW16" i="3" l="1"/>
  <c r="AV16" i="3"/>
  <c r="AC17" i="3"/>
  <c r="S33" i="3"/>
  <c r="T33" i="3" s="1"/>
  <c r="R34" i="3"/>
  <c r="S34" i="3" l="1"/>
  <c r="T34" i="3" s="1"/>
  <c r="R35" i="3"/>
  <c r="AD17" i="3"/>
  <c r="AF17" i="3"/>
  <c r="AR17" i="3" l="1"/>
  <c r="AG17" i="3"/>
  <c r="AS17" i="3"/>
  <c r="AP17" i="3"/>
  <c r="S35" i="3"/>
  <c r="T35" i="3" s="1"/>
  <c r="R36" i="3"/>
  <c r="AT17" i="3" l="1"/>
  <c r="BA17" i="3"/>
  <c r="BB17" i="3" s="1"/>
  <c r="AX17" i="3"/>
  <c r="AY17" i="3" s="1"/>
  <c r="AU17" i="3"/>
  <c r="S36" i="3"/>
  <c r="T36" i="3" s="1"/>
  <c r="R37" i="3"/>
  <c r="AQ17" i="3"/>
  <c r="AO18" i="3"/>
  <c r="AW17" i="3" l="1"/>
  <c r="AV17" i="3"/>
  <c r="AC18" i="3"/>
  <c r="S37" i="3"/>
  <c r="T37" i="3" s="1"/>
  <c r="R38" i="3"/>
  <c r="S38" i="3" l="1"/>
  <c r="T38" i="3" s="1"/>
  <c r="R39" i="3"/>
  <c r="AD18" i="3"/>
  <c r="AF18" i="3"/>
  <c r="AR18" i="3" l="1"/>
  <c r="AG18" i="3"/>
  <c r="AS18" i="3"/>
  <c r="AP18" i="3"/>
  <c r="S39" i="3"/>
  <c r="T39" i="3" s="1"/>
  <c r="R40" i="3"/>
  <c r="S40" i="3" l="1"/>
  <c r="T40" i="3" s="1"/>
  <c r="R41" i="3"/>
  <c r="AQ18" i="3"/>
  <c r="AO19" i="3"/>
  <c r="AT18" i="3"/>
  <c r="BA18" i="3"/>
  <c r="BB18" i="3" s="1"/>
  <c r="AU18" i="3"/>
  <c r="AX18" i="3"/>
  <c r="AY18" i="3" s="1"/>
  <c r="AW18" i="3" l="1"/>
  <c r="AV18" i="3"/>
  <c r="AC19" i="3"/>
  <c r="S41" i="3"/>
  <c r="T41" i="3" s="1"/>
  <c r="R42" i="3"/>
  <c r="S42" i="3" l="1"/>
  <c r="T42" i="3" s="1"/>
  <c r="R43" i="3"/>
  <c r="AD19" i="3"/>
  <c r="AF19" i="3"/>
  <c r="AR19" i="3" l="1"/>
  <c r="AG19" i="3"/>
  <c r="AS19" i="3"/>
  <c r="AP19" i="3"/>
  <c r="S43" i="3"/>
  <c r="T43" i="3" s="1"/>
  <c r="R44" i="3"/>
  <c r="AT19" i="3" l="1"/>
  <c r="AX19" i="3"/>
  <c r="AY19" i="3" s="1"/>
  <c r="BA19" i="3"/>
  <c r="BB19" i="3" s="1"/>
  <c r="AU19" i="3"/>
  <c r="S44" i="3"/>
  <c r="T44" i="3" s="1"/>
  <c r="R45" i="3"/>
  <c r="AQ19" i="3"/>
  <c r="AO20" i="3"/>
  <c r="AW19" i="3" l="1"/>
  <c r="AV19" i="3"/>
  <c r="AC20" i="3"/>
  <c r="S45" i="3"/>
  <c r="T45" i="3" s="1"/>
  <c r="R46" i="3"/>
  <c r="S46" i="3" l="1"/>
  <c r="T46" i="3" s="1"/>
  <c r="R47" i="3"/>
  <c r="AD20" i="3"/>
  <c r="AF20" i="3"/>
  <c r="AR20" i="3" l="1"/>
  <c r="AG20" i="3"/>
  <c r="AS20" i="3"/>
  <c r="AP20" i="3"/>
  <c r="S47" i="3"/>
  <c r="T47" i="3" s="1"/>
  <c r="R48" i="3"/>
  <c r="S48" i="3" l="1"/>
  <c r="T48" i="3" s="1"/>
  <c r="R49" i="3"/>
  <c r="AQ20" i="3"/>
  <c r="AO21" i="3"/>
  <c r="AT20" i="3"/>
  <c r="BA20" i="3"/>
  <c r="BB20" i="3" s="1"/>
  <c r="AX20" i="3"/>
  <c r="AY20" i="3" s="1"/>
  <c r="AU20" i="3"/>
  <c r="AW20" i="3" l="1"/>
  <c r="AV20" i="3"/>
  <c r="AC21" i="3"/>
  <c r="S49" i="3"/>
  <c r="T49" i="3" s="1"/>
  <c r="R50" i="3"/>
  <c r="S50" i="3" l="1"/>
  <c r="T50" i="3" s="1"/>
  <c r="R51" i="3"/>
  <c r="AD21" i="3"/>
  <c r="AF21" i="3"/>
  <c r="AG21" i="3" l="1"/>
  <c r="AR21" i="3"/>
  <c r="AS21" i="3"/>
  <c r="AP21" i="3"/>
  <c r="S51" i="3"/>
  <c r="T51" i="3" s="1"/>
  <c r="R52" i="3"/>
  <c r="S52" i="3" l="1"/>
  <c r="T52" i="3" s="1"/>
  <c r="R53" i="3"/>
  <c r="AQ21" i="3"/>
  <c r="AO22" i="3"/>
  <c r="AT21" i="3"/>
  <c r="BA21" i="3"/>
  <c r="BB21" i="3" s="1"/>
  <c r="AU21" i="3"/>
  <c r="AX21" i="3"/>
  <c r="AY21" i="3" s="1"/>
  <c r="AW21" i="3" l="1"/>
  <c r="AV21" i="3"/>
  <c r="AC22" i="3"/>
  <c r="S53" i="3"/>
  <c r="T53" i="3" s="1"/>
  <c r="R54" i="3"/>
  <c r="S54" i="3" l="1"/>
  <c r="T54" i="3" s="1"/>
  <c r="R55" i="3"/>
  <c r="AF22" i="3"/>
  <c r="AD22" i="3"/>
  <c r="AG22" i="3" l="1"/>
  <c r="AR22" i="3"/>
  <c r="AS22" i="3"/>
  <c r="AP22" i="3"/>
  <c r="S55" i="3"/>
  <c r="T55" i="3" s="1"/>
  <c r="R56" i="3"/>
  <c r="AT22" i="3" l="1"/>
  <c r="AU22" i="3"/>
  <c r="AX22" i="3"/>
  <c r="AY22" i="3" s="1"/>
  <c r="BA22" i="3"/>
  <c r="BB22" i="3" s="1"/>
  <c r="S56" i="3"/>
  <c r="T56" i="3" s="1"/>
  <c r="R57" i="3"/>
  <c r="AQ22" i="3"/>
  <c r="AO23" i="3"/>
  <c r="AW22" i="3" l="1"/>
  <c r="AV22" i="3"/>
  <c r="AC23" i="3"/>
  <c r="S57" i="3"/>
  <c r="T57" i="3" s="1"/>
  <c r="R58" i="3"/>
  <c r="S58" i="3" l="1"/>
  <c r="T58" i="3" s="1"/>
  <c r="R59" i="3"/>
  <c r="AF23" i="3"/>
  <c r="AD23" i="3"/>
  <c r="AG23" i="3" l="1"/>
  <c r="AR23" i="3"/>
  <c r="AS23" i="3"/>
  <c r="AP23" i="3"/>
  <c r="R60" i="3"/>
  <c r="S59" i="3"/>
  <c r="T59" i="3" s="1"/>
  <c r="S60" i="3" l="1"/>
  <c r="T60" i="3" s="1"/>
  <c r="R61" i="3"/>
  <c r="AQ23" i="3"/>
  <c r="AO24" i="3"/>
  <c r="AT23" i="3"/>
  <c r="AX23" i="3"/>
  <c r="AY23" i="3" s="1"/>
  <c r="BA23" i="3"/>
  <c r="BB23" i="3" s="1"/>
  <c r="AU23" i="3"/>
  <c r="AW23" i="3" l="1"/>
  <c r="AV23" i="3"/>
  <c r="AC24" i="3"/>
  <c r="S61" i="3"/>
  <c r="T61" i="3" s="1"/>
  <c r="R62" i="3"/>
  <c r="S62" i="3" l="1"/>
  <c r="T62" i="3" s="1"/>
  <c r="R63" i="3"/>
  <c r="AD24" i="3"/>
  <c r="AF24" i="3"/>
  <c r="AG24" i="3" l="1"/>
  <c r="AR24" i="3"/>
  <c r="AS24" i="3"/>
  <c r="AP24" i="3"/>
  <c r="S63" i="3"/>
  <c r="T63" i="3" s="1"/>
  <c r="R64" i="3"/>
  <c r="S64" i="3" l="1"/>
  <c r="T64" i="3" s="1"/>
  <c r="R65" i="3"/>
  <c r="AQ24" i="3"/>
  <c r="AO25" i="3"/>
  <c r="AT24" i="3"/>
  <c r="AU24" i="3"/>
  <c r="AX24" i="3"/>
  <c r="AY24" i="3" s="1"/>
  <c r="BA24" i="3"/>
  <c r="BB24" i="3" s="1"/>
  <c r="AW24" i="3" l="1"/>
  <c r="AV24" i="3"/>
  <c r="AC25" i="3"/>
  <c r="S65" i="3"/>
  <c r="T65" i="3" s="1"/>
  <c r="R66" i="3"/>
  <c r="S66" i="3" l="1"/>
  <c r="T66" i="3" s="1"/>
  <c r="R67" i="3"/>
  <c r="AF25" i="3"/>
  <c r="AD25" i="3"/>
  <c r="AG25" i="3" l="1"/>
  <c r="AR25" i="3"/>
  <c r="AS25" i="3"/>
  <c r="AP25" i="3"/>
  <c r="S67" i="3"/>
  <c r="T67" i="3" s="1"/>
  <c r="R68" i="3"/>
  <c r="S68" i="3" l="1"/>
  <c r="T68" i="3" s="1"/>
  <c r="R69" i="3"/>
  <c r="AQ25" i="3"/>
  <c r="AO26" i="3"/>
  <c r="AT25" i="3"/>
  <c r="AU25" i="3"/>
  <c r="AX25" i="3"/>
  <c r="AY25" i="3" s="1"/>
  <c r="BA25" i="3"/>
  <c r="BB25" i="3" s="1"/>
  <c r="AW25" i="3" l="1"/>
  <c r="AV25" i="3"/>
  <c r="AC26" i="3"/>
  <c r="S69" i="3"/>
  <c r="T69" i="3" s="1"/>
  <c r="R70" i="3"/>
  <c r="S70" i="3" l="1"/>
  <c r="T70" i="3" s="1"/>
  <c r="R71" i="3"/>
  <c r="AD26" i="3"/>
  <c r="AF26" i="3"/>
  <c r="AR26" i="3" l="1"/>
  <c r="AG26" i="3"/>
  <c r="AS26" i="3"/>
  <c r="AP26" i="3"/>
  <c r="S71" i="3"/>
  <c r="T71" i="3" s="1"/>
  <c r="R72" i="3"/>
  <c r="AT26" i="3" l="1"/>
  <c r="BA26" i="3"/>
  <c r="BB26" i="3" s="1"/>
  <c r="AU26" i="3"/>
  <c r="AX26" i="3"/>
  <c r="AY26" i="3" s="1"/>
  <c r="S72" i="3"/>
  <c r="T72" i="3" s="1"/>
  <c r="R73" i="3"/>
  <c r="AQ26" i="3"/>
  <c r="AO27" i="3"/>
  <c r="AW26" i="3" l="1"/>
  <c r="AV26" i="3"/>
  <c r="AC27" i="3"/>
  <c r="R74" i="3"/>
  <c r="S73" i="3"/>
  <c r="T73" i="3" s="1"/>
  <c r="S74" i="3" l="1"/>
  <c r="T74" i="3" s="1"/>
  <c r="R75" i="3"/>
  <c r="AD27" i="3"/>
  <c r="AF27" i="3"/>
  <c r="AR27" i="3" l="1"/>
  <c r="AG27" i="3"/>
  <c r="AS27" i="3"/>
  <c r="AP27" i="3"/>
  <c r="S75" i="3"/>
  <c r="T75" i="3" s="1"/>
  <c r="R76" i="3"/>
  <c r="S76" i="3" l="1"/>
  <c r="T76" i="3" s="1"/>
  <c r="R77" i="3"/>
  <c r="AQ27" i="3"/>
  <c r="AO28" i="3"/>
  <c r="AT27" i="3"/>
  <c r="BA27" i="3"/>
  <c r="BB27" i="3" s="1"/>
  <c r="AX27" i="3"/>
  <c r="AY27" i="3" s="1"/>
  <c r="AU27" i="3"/>
  <c r="AW27" i="3" l="1"/>
  <c r="AV27" i="3"/>
  <c r="AC28" i="3"/>
  <c r="R78" i="3"/>
  <c r="S77" i="3"/>
  <c r="T77" i="3" s="1"/>
  <c r="S78" i="3" l="1"/>
  <c r="T78" i="3" s="1"/>
  <c r="R79" i="3"/>
  <c r="AD28" i="3"/>
  <c r="AF28" i="3"/>
  <c r="AR28" i="3" l="1"/>
  <c r="AG28" i="3"/>
  <c r="AS28" i="3"/>
  <c r="AP28" i="3"/>
  <c r="S79" i="3"/>
  <c r="T79" i="3" s="1"/>
  <c r="R80" i="3"/>
  <c r="AT28" i="3" l="1"/>
  <c r="BA28" i="3"/>
  <c r="BB28" i="3" s="1"/>
  <c r="AX28" i="3"/>
  <c r="AY28" i="3" s="1"/>
  <c r="AU28" i="3"/>
  <c r="S80" i="3"/>
  <c r="T80" i="3" s="1"/>
  <c r="R81" i="3"/>
  <c r="AQ28" i="3"/>
  <c r="AO29" i="3"/>
  <c r="AW28" i="3" l="1"/>
  <c r="AV28" i="3"/>
  <c r="AC29" i="3"/>
  <c r="S81" i="3"/>
  <c r="T81" i="3" s="1"/>
  <c r="R82" i="3"/>
  <c r="S82" i="3" l="1"/>
  <c r="T82" i="3" s="1"/>
  <c r="R83" i="3"/>
  <c r="AF29" i="3"/>
  <c r="AD29" i="3"/>
  <c r="AG29" i="3" l="1"/>
  <c r="AR29" i="3"/>
  <c r="AS29" i="3"/>
  <c r="AP29" i="3"/>
  <c r="S83" i="3"/>
  <c r="T83" i="3" s="1"/>
  <c r="R84" i="3"/>
  <c r="AT29" i="3" l="1"/>
  <c r="AU29" i="3"/>
  <c r="AX29" i="3"/>
  <c r="AY29" i="3" s="1"/>
  <c r="BA29" i="3"/>
  <c r="BB29" i="3" s="1"/>
  <c r="S84" i="3"/>
  <c r="T84" i="3" s="1"/>
  <c r="R85" i="3"/>
  <c r="AQ29" i="3"/>
  <c r="AO30" i="3"/>
  <c r="AW29" i="3" l="1"/>
  <c r="AV29" i="3"/>
  <c r="AC30" i="3"/>
  <c r="S85" i="3"/>
  <c r="T85" i="3" s="1"/>
  <c r="R86" i="3"/>
  <c r="AF30" i="3" l="1"/>
  <c r="AD30" i="3"/>
  <c r="S86" i="3"/>
  <c r="T86" i="3" s="1"/>
  <c r="R87" i="3"/>
  <c r="S87" i="3" l="1"/>
  <c r="T87" i="3" s="1"/>
  <c r="R88" i="3"/>
  <c r="AG30" i="3"/>
  <c r="AR30" i="3"/>
  <c r="AS30" i="3"/>
  <c r="AP30" i="3"/>
  <c r="AQ30" i="3" l="1"/>
  <c r="AO31" i="3"/>
  <c r="S88" i="3"/>
  <c r="T88" i="3" s="1"/>
  <c r="R89" i="3"/>
  <c r="AT30" i="3"/>
  <c r="BA30" i="3"/>
  <c r="BB30" i="3" s="1"/>
  <c r="AU30" i="3"/>
  <c r="AX30" i="3"/>
  <c r="AY30" i="3" s="1"/>
  <c r="AW30" i="3" l="1"/>
  <c r="AV30" i="3"/>
  <c r="S89" i="3"/>
  <c r="T89" i="3" s="1"/>
  <c r="R90" i="3"/>
  <c r="AC31" i="3"/>
  <c r="AD31" i="3" l="1"/>
  <c r="AF31" i="3"/>
  <c r="S90" i="3"/>
  <c r="T90" i="3" s="1"/>
  <c r="R91" i="3"/>
  <c r="R92" i="3" l="1"/>
  <c r="S91" i="3"/>
  <c r="T91" i="3" s="1"/>
  <c r="AG31" i="3"/>
  <c r="AR31" i="3"/>
  <c r="AS31" i="3"/>
  <c r="AP31" i="3"/>
  <c r="AQ31" i="3" l="1"/>
  <c r="AO32" i="3"/>
  <c r="AT31" i="3"/>
  <c r="AX31" i="3"/>
  <c r="AY31" i="3" s="1"/>
  <c r="BA31" i="3"/>
  <c r="BB31" i="3" s="1"/>
  <c r="AU31" i="3"/>
  <c r="S92" i="3"/>
  <c r="T92" i="3" s="1"/>
  <c r="R93" i="3"/>
  <c r="AW31" i="3" l="1"/>
  <c r="AV31" i="3"/>
  <c r="S93" i="3"/>
  <c r="T93" i="3" s="1"/>
  <c r="R94" i="3"/>
  <c r="AC32" i="3"/>
  <c r="AD32" i="3" l="1"/>
  <c r="AF32" i="3"/>
  <c r="S94" i="3"/>
  <c r="T94" i="3" s="1"/>
  <c r="R95" i="3"/>
  <c r="R96" i="3" l="1"/>
  <c r="S95" i="3"/>
  <c r="T95" i="3" s="1"/>
  <c r="AG32" i="3"/>
  <c r="AR32" i="3"/>
  <c r="AS32" i="3"/>
  <c r="AP32" i="3"/>
  <c r="AQ32" i="3" l="1"/>
  <c r="AO33" i="3"/>
  <c r="AT32" i="3"/>
  <c r="AX32" i="3"/>
  <c r="AY32" i="3" s="1"/>
  <c r="BA32" i="3"/>
  <c r="BB32" i="3" s="1"/>
  <c r="AU32" i="3"/>
  <c r="S96" i="3"/>
  <c r="T96" i="3" s="1"/>
  <c r="R97" i="3"/>
  <c r="AW32" i="3" l="1"/>
  <c r="AV32" i="3"/>
  <c r="S97" i="3"/>
  <c r="T97" i="3" s="1"/>
  <c r="R98" i="3"/>
  <c r="AC33" i="3"/>
  <c r="AF33" i="3" l="1"/>
  <c r="AD33" i="3"/>
  <c r="S98" i="3"/>
  <c r="T98" i="3" s="1"/>
  <c r="R99" i="3"/>
  <c r="S99" i="3" l="1"/>
  <c r="T99" i="3" s="1"/>
  <c r="R100" i="3"/>
  <c r="AR33" i="3"/>
  <c r="AG33" i="3"/>
  <c r="AS33" i="3"/>
  <c r="AP33" i="3"/>
  <c r="AQ33" i="3" l="1"/>
  <c r="AO34" i="3"/>
  <c r="S100" i="3"/>
  <c r="T100" i="3" s="1"/>
  <c r="R101" i="3"/>
  <c r="AT33" i="3"/>
  <c r="BA33" i="3"/>
  <c r="BB33" i="3" s="1"/>
  <c r="AX33" i="3"/>
  <c r="AY33" i="3" s="1"/>
  <c r="AU33" i="3"/>
  <c r="AW33" i="3" l="1"/>
  <c r="AV33" i="3"/>
  <c r="S101" i="3"/>
  <c r="T101" i="3" s="1"/>
  <c r="R102" i="3"/>
  <c r="AC34" i="3"/>
  <c r="AD34" i="3" l="1"/>
  <c r="AF34" i="3"/>
  <c r="S102" i="3"/>
  <c r="T102" i="3" s="1"/>
  <c r="R103" i="3"/>
  <c r="S103" i="3" l="1"/>
  <c r="T103" i="3" s="1"/>
  <c r="R104" i="3"/>
  <c r="AG34" i="3"/>
  <c r="AR34" i="3"/>
  <c r="AS34" i="3"/>
  <c r="AP34" i="3"/>
  <c r="AQ34" i="3" l="1"/>
  <c r="AO35" i="3"/>
  <c r="S104" i="3"/>
  <c r="T104" i="3" s="1"/>
  <c r="R105" i="3"/>
  <c r="AT34" i="3"/>
  <c r="BA34" i="3"/>
  <c r="BB34" i="3" s="1"/>
  <c r="AX34" i="3"/>
  <c r="AY34" i="3" s="1"/>
  <c r="AU34" i="3"/>
  <c r="AW34" i="3" l="1"/>
  <c r="AV34" i="3"/>
  <c r="S105" i="3"/>
  <c r="T105" i="3" s="1"/>
  <c r="R106" i="3"/>
  <c r="AC35" i="3"/>
  <c r="S106" i="3" l="1"/>
  <c r="T106" i="3" s="1"/>
  <c r="R107" i="3"/>
  <c r="AD35" i="3"/>
  <c r="AF35" i="3"/>
  <c r="AG35" i="3" l="1"/>
  <c r="AR35" i="3"/>
  <c r="AS35" i="3"/>
  <c r="AP35" i="3"/>
  <c r="R108" i="3"/>
  <c r="S107" i="3"/>
  <c r="T107" i="3" s="1"/>
  <c r="S108" i="3" l="1"/>
  <c r="T108" i="3" s="1"/>
  <c r="R109" i="3"/>
  <c r="AQ35" i="3"/>
  <c r="AO36" i="3"/>
  <c r="AT35" i="3"/>
  <c r="AX35" i="3"/>
  <c r="AY35" i="3" s="1"/>
  <c r="BA35" i="3"/>
  <c r="BB35" i="3" s="1"/>
  <c r="AU35" i="3"/>
  <c r="AW35" i="3" l="1"/>
  <c r="AV35" i="3"/>
  <c r="AC36" i="3"/>
  <c r="S109" i="3"/>
  <c r="T109" i="3" s="1"/>
  <c r="R110" i="3"/>
  <c r="S110" i="3" l="1"/>
  <c r="T110" i="3" s="1"/>
  <c r="R111" i="3"/>
  <c r="AD36" i="3"/>
  <c r="AF36" i="3"/>
  <c r="AG36" i="3" l="1"/>
  <c r="AR36" i="3"/>
  <c r="AS36" i="3"/>
  <c r="AP36" i="3"/>
  <c r="R112" i="3"/>
  <c r="S111" i="3"/>
  <c r="T111" i="3" s="1"/>
  <c r="S112" i="3" l="1"/>
  <c r="T112" i="3" s="1"/>
  <c r="R113" i="3"/>
  <c r="AQ36" i="3"/>
  <c r="AO37" i="3"/>
  <c r="AT36" i="3"/>
  <c r="AX36" i="3"/>
  <c r="AY36" i="3" s="1"/>
  <c r="AU36" i="3"/>
  <c r="BA36" i="3"/>
  <c r="BB36" i="3" s="1"/>
  <c r="AW36" i="3" l="1"/>
  <c r="AV36" i="3"/>
  <c r="AC37" i="3"/>
  <c r="S113" i="3"/>
  <c r="T113" i="3" s="1"/>
  <c r="R114" i="3"/>
  <c r="S114" i="3" l="1"/>
  <c r="T114" i="3" s="1"/>
  <c r="R115" i="3"/>
  <c r="AD37" i="3"/>
  <c r="AF37" i="3"/>
  <c r="AG37" i="3" l="1"/>
  <c r="AR37" i="3"/>
  <c r="AS37" i="3"/>
  <c r="AP37" i="3"/>
  <c r="S115" i="3"/>
  <c r="T115" i="3" s="1"/>
  <c r="R116" i="3"/>
  <c r="S116" i="3" l="1"/>
  <c r="T116" i="3" s="1"/>
  <c r="R117" i="3"/>
  <c r="AQ37" i="3"/>
  <c r="AO38" i="3"/>
  <c r="AT37" i="3"/>
  <c r="AU37" i="3"/>
  <c r="AX37" i="3"/>
  <c r="AY37" i="3" s="1"/>
  <c r="BA37" i="3"/>
  <c r="BB37" i="3" s="1"/>
  <c r="AW37" i="3" l="1"/>
  <c r="AV37" i="3"/>
  <c r="AC38" i="3"/>
  <c r="R118" i="3"/>
  <c r="S117" i="3"/>
  <c r="T117" i="3" s="1"/>
  <c r="S118" i="3" l="1"/>
  <c r="T118" i="3" s="1"/>
  <c r="R119" i="3"/>
  <c r="AD38" i="3"/>
  <c r="AF38" i="3"/>
  <c r="AG38" i="3" l="1"/>
  <c r="AR38" i="3"/>
  <c r="AS38" i="3"/>
  <c r="AP38" i="3"/>
  <c r="S119" i="3"/>
  <c r="T119" i="3" s="1"/>
  <c r="R120" i="3"/>
  <c r="S120" i="3" l="1"/>
  <c r="T120" i="3" s="1"/>
  <c r="R121" i="3"/>
  <c r="AQ38" i="3"/>
  <c r="AO39" i="3"/>
  <c r="AT38" i="3"/>
  <c r="BA38" i="3"/>
  <c r="BB38" i="3" s="1"/>
  <c r="AU38" i="3"/>
  <c r="AX38" i="3"/>
  <c r="AY38" i="3" s="1"/>
  <c r="AW38" i="3" l="1"/>
  <c r="AV38" i="3"/>
  <c r="AC39" i="3"/>
  <c r="R122" i="3"/>
  <c r="S121" i="3"/>
  <c r="T121" i="3" s="1"/>
  <c r="S122" i="3" l="1"/>
  <c r="T122" i="3" s="1"/>
  <c r="R123" i="3"/>
  <c r="AD39" i="3"/>
  <c r="AF39" i="3"/>
  <c r="AG39" i="3" l="1"/>
  <c r="AR39" i="3"/>
  <c r="AS39" i="3"/>
  <c r="AP39" i="3"/>
  <c r="S123" i="3"/>
  <c r="T123" i="3" s="1"/>
  <c r="R124" i="3"/>
  <c r="S124" i="3" l="1"/>
  <c r="T124" i="3" s="1"/>
  <c r="R125" i="3"/>
  <c r="AQ39" i="3"/>
  <c r="AO40" i="3"/>
  <c r="AT39" i="3"/>
  <c r="AU39" i="3"/>
  <c r="AX39" i="3"/>
  <c r="AY39" i="3" s="1"/>
  <c r="BA39" i="3"/>
  <c r="BB39" i="3" s="1"/>
  <c r="AW39" i="3" l="1"/>
  <c r="AV39" i="3"/>
  <c r="AC40" i="3"/>
  <c r="R126" i="3"/>
  <c r="S125" i="3"/>
  <c r="T125" i="3" s="1"/>
  <c r="S126" i="3" l="1"/>
  <c r="T126" i="3" s="1"/>
  <c r="R127" i="3"/>
  <c r="R128" i="3" s="1"/>
  <c r="AD40" i="3"/>
  <c r="AF40" i="3"/>
  <c r="S128" i="3" l="1"/>
  <c r="T128" i="3" s="1"/>
  <c r="R129" i="3"/>
  <c r="AG40" i="3"/>
  <c r="AR40" i="3"/>
  <c r="AS40" i="3"/>
  <c r="AP40" i="3"/>
  <c r="S127" i="3"/>
  <c r="T127" i="3" s="1"/>
  <c r="R130" i="3" l="1"/>
  <c r="S129" i="3"/>
  <c r="T129" i="3" s="1"/>
  <c r="AQ40" i="3"/>
  <c r="AO41" i="3"/>
  <c r="AT40" i="3"/>
  <c r="AU40" i="3"/>
  <c r="AX40" i="3"/>
  <c r="AY40" i="3" s="1"/>
  <c r="BA40" i="3"/>
  <c r="BB40" i="3" s="1"/>
  <c r="AW40" i="3" l="1"/>
  <c r="AV40" i="3"/>
  <c r="R131" i="3"/>
  <c r="S131" i="3" s="1"/>
  <c r="T131" i="3" s="1"/>
  <c r="S130" i="3"/>
  <c r="T130" i="3" s="1"/>
  <c r="AC41" i="3"/>
  <c r="AD41" i="3" l="1"/>
  <c r="AF41" i="3"/>
  <c r="AG41" i="3" l="1"/>
  <c r="AR41" i="3"/>
  <c r="AS41" i="3"/>
  <c r="AP41" i="3"/>
  <c r="AT41" i="3" l="1"/>
  <c r="AX41" i="3"/>
  <c r="AY41" i="3" s="1"/>
  <c r="BA41" i="3"/>
  <c r="BB41" i="3" s="1"/>
  <c r="AU41" i="3"/>
  <c r="AQ41" i="3"/>
  <c r="AO42" i="3"/>
  <c r="AW41" i="3" l="1"/>
  <c r="AV41" i="3"/>
  <c r="AC42" i="3"/>
  <c r="AD42" i="3" l="1"/>
  <c r="AF42" i="3"/>
  <c r="AR42" i="3" l="1"/>
  <c r="AG42" i="3"/>
  <c r="AS42" i="3"/>
  <c r="AP42" i="3"/>
  <c r="AQ42" i="3" l="1"/>
  <c r="AO43" i="3"/>
  <c r="AT42" i="3"/>
  <c r="BA42" i="3"/>
  <c r="BB42" i="3" s="1"/>
  <c r="AU42" i="3"/>
  <c r="AX42" i="3"/>
  <c r="AY42" i="3" s="1"/>
  <c r="AW42" i="3" l="1"/>
  <c r="AV42" i="3"/>
  <c r="AC43" i="3"/>
  <c r="AF43" i="3" l="1"/>
  <c r="AD43" i="3"/>
  <c r="AG43" i="3" l="1"/>
  <c r="AR43" i="3"/>
  <c r="AS43" i="3"/>
  <c r="AP43" i="3"/>
  <c r="AT43" i="3" l="1"/>
  <c r="AU43" i="3"/>
  <c r="AX43" i="3"/>
  <c r="AY43" i="3" s="1"/>
  <c r="BA43" i="3"/>
  <c r="BB43" i="3" s="1"/>
  <c r="AQ43" i="3"/>
  <c r="AO44" i="3"/>
  <c r="AW43" i="3" l="1"/>
  <c r="AV43" i="3"/>
  <c r="AC44" i="3"/>
  <c r="AF44" i="3" l="1"/>
  <c r="AD44" i="3"/>
  <c r="AR44" i="3" l="1"/>
  <c r="AG44" i="3"/>
  <c r="AS44" i="3"/>
  <c r="AP44" i="3"/>
  <c r="AQ44" i="3" l="1"/>
  <c r="AO45" i="3"/>
  <c r="AT44" i="3"/>
  <c r="AU44" i="3"/>
  <c r="AX44" i="3"/>
  <c r="AY44" i="3" s="1"/>
  <c r="BA44" i="3"/>
  <c r="BB44" i="3" s="1"/>
  <c r="AW44" i="3" l="1"/>
  <c r="AV44" i="3"/>
  <c r="AC45" i="3"/>
  <c r="AF45" i="3" l="1"/>
  <c r="AD45" i="3"/>
  <c r="AG45" i="3" l="1"/>
  <c r="AR45" i="3"/>
  <c r="AS45" i="3"/>
  <c r="AP45" i="3"/>
  <c r="AT45" i="3" l="1"/>
  <c r="AU45" i="3"/>
  <c r="AX45" i="3"/>
  <c r="AY45" i="3" s="1"/>
  <c r="BA45" i="3"/>
  <c r="BB45" i="3" s="1"/>
  <c r="AQ45" i="3"/>
  <c r="AO46" i="3"/>
  <c r="AW45" i="3" l="1"/>
  <c r="AV45" i="3"/>
  <c r="AC46" i="3"/>
  <c r="AD46" i="3" l="1"/>
  <c r="AF46" i="3"/>
  <c r="AG46" i="3" l="1"/>
  <c r="AR46" i="3"/>
  <c r="AS46" i="3"/>
  <c r="AP46" i="3"/>
  <c r="AQ46" i="3" l="1"/>
  <c r="AO47" i="3"/>
  <c r="AT46" i="3"/>
  <c r="AX46" i="3"/>
  <c r="AY46" i="3" s="1"/>
  <c r="AU46" i="3"/>
  <c r="BA46" i="3"/>
  <c r="BB46" i="3" s="1"/>
  <c r="AW46" i="3" l="1"/>
  <c r="AV46" i="3"/>
  <c r="AC47" i="3"/>
  <c r="AD47" i="3" l="1"/>
  <c r="AF47" i="3"/>
  <c r="AR47" i="3" l="1"/>
  <c r="AG47" i="3"/>
  <c r="AS47" i="3"/>
  <c r="AP47" i="3"/>
  <c r="AT47" i="3" l="1"/>
  <c r="AX47" i="3"/>
  <c r="AY47" i="3" s="1"/>
  <c r="AU47" i="3"/>
  <c r="BA47" i="3"/>
  <c r="BB47" i="3" s="1"/>
  <c r="AQ47" i="3"/>
  <c r="AO48" i="3"/>
  <c r="AW47" i="3" l="1"/>
  <c r="AV47" i="3"/>
  <c r="AC48" i="3"/>
  <c r="AF48" i="3" l="1"/>
  <c r="AD48" i="3"/>
  <c r="AR48" i="3" l="1"/>
  <c r="AS48" i="3"/>
  <c r="AG48" i="3"/>
  <c r="AP48" i="3"/>
  <c r="AQ48" i="3" l="1"/>
  <c r="AO49" i="3"/>
  <c r="AU48" i="3"/>
  <c r="AX48" i="3"/>
  <c r="AY48" i="3" s="1"/>
  <c r="AT48" i="3"/>
  <c r="BA48" i="3"/>
  <c r="BB48" i="3" s="1"/>
  <c r="AW48" i="3" l="1"/>
  <c r="AV48" i="3"/>
  <c r="AC49" i="3"/>
  <c r="AF49" i="3" l="1"/>
  <c r="AD49" i="3"/>
  <c r="AR49" i="3" l="1"/>
  <c r="AG49" i="3"/>
  <c r="AS49" i="3"/>
  <c r="AP49" i="3"/>
  <c r="AQ49" i="3" l="1"/>
  <c r="AO50" i="3"/>
  <c r="AT49" i="3"/>
  <c r="BA49" i="3"/>
  <c r="BB49" i="3" s="1"/>
  <c r="AU49" i="3"/>
  <c r="AX49" i="3"/>
  <c r="AY49" i="3" s="1"/>
  <c r="AW49" i="3" l="1"/>
  <c r="AV49" i="3"/>
  <c r="AC50" i="3"/>
  <c r="AF50" i="3" l="1"/>
  <c r="AD50" i="3"/>
  <c r="AG50" i="3" l="1"/>
  <c r="AS50" i="3"/>
  <c r="AR50" i="3"/>
  <c r="AP50" i="3"/>
  <c r="AQ50" i="3" l="1"/>
  <c r="AO51" i="3"/>
  <c r="AT50" i="3"/>
  <c r="AU50" i="3"/>
  <c r="BA50" i="3"/>
  <c r="BB50" i="3" s="1"/>
  <c r="AX50" i="3"/>
  <c r="AY50" i="3" s="1"/>
  <c r="AW50" i="3" l="1"/>
  <c r="AV50" i="3"/>
  <c r="AC51" i="3"/>
  <c r="AF51" i="3" l="1"/>
  <c r="AD51" i="3"/>
  <c r="AR51" i="3" l="1"/>
  <c r="AG51" i="3"/>
  <c r="AS51" i="3"/>
  <c r="AP51" i="3"/>
  <c r="AT51" i="3" l="1"/>
  <c r="BA51" i="3"/>
  <c r="BB51" i="3" s="1"/>
  <c r="AU51" i="3"/>
  <c r="AX51" i="3"/>
  <c r="AY51" i="3" s="1"/>
  <c r="AQ51" i="3"/>
  <c r="AO52" i="3"/>
  <c r="AW51" i="3" l="1"/>
  <c r="AV51" i="3"/>
  <c r="AC52" i="3"/>
  <c r="AD52" i="3" l="1"/>
  <c r="AF52" i="3"/>
  <c r="AR52" i="3" l="1"/>
  <c r="AS52" i="3"/>
  <c r="AG52" i="3"/>
  <c r="AP52" i="3"/>
  <c r="AQ52" i="3" l="1"/>
  <c r="AO53" i="3"/>
  <c r="BA52" i="3"/>
  <c r="BB52" i="3" s="1"/>
  <c r="AX52" i="3"/>
  <c r="AY52" i="3" s="1"/>
  <c r="AT52" i="3"/>
  <c r="AU52" i="3"/>
  <c r="AW52" i="3" l="1"/>
  <c r="AV52" i="3"/>
  <c r="AC53" i="3"/>
  <c r="S134" i="3" l="1"/>
  <c r="T134" i="3"/>
  <c r="AD53" i="3"/>
  <c r="AF53" i="3"/>
  <c r="AR53" i="3" l="1"/>
  <c r="AS53" i="3"/>
  <c r="AG53" i="3"/>
  <c r="AP53" i="3"/>
  <c r="AQ53" i="3" l="1"/>
  <c r="AO54" i="3"/>
  <c r="BA53" i="3"/>
  <c r="BB53" i="3" s="1"/>
  <c r="AU53" i="3"/>
  <c r="AX53" i="3"/>
  <c r="AY53" i="3" s="1"/>
  <c r="AT53" i="3"/>
  <c r="AW53" i="3" l="1"/>
  <c r="AV53" i="3"/>
  <c r="AC54" i="3"/>
  <c r="AD54" i="3" l="1"/>
  <c r="AF54" i="3"/>
  <c r="AR54" i="3" l="1"/>
  <c r="AS54" i="3"/>
  <c r="AG54" i="3"/>
  <c r="AP54" i="3"/>
  <c r="BA54" i="3" l="1"/>
  <c r="BB54" i="3" s="1"/>
  <c r="AX54" i="3"/>
  <c r="AY54" i="3" s="1"/>
  <c r="AT54" i="3"/>
  <c r="AU54" i="3"/>
  <c r="AQ54" i="3"/>
  <c r="AO55" i="3"/>
  <c r="AW54" i="3" l="1"/>
  <c r="AV54" i="3"/>
  <c r="AC55" i="3"/>
  <c r="AD55" i="3" l="1"/>
  <c r="AF55" i="3"/>
  <c r="AG55" i="3" l="1"/>
  <c r="AR55" i="3"/>
  <c r="AS55" i="3"/>
  <c r="AP55" i="3"/>
  <c r="AU55" i="3" l="1"/>
  <c r="BA55" i="3"/>
  <c r="BB55" i="3" s="1"/>
  <c r="AX55" i="3"/>
  <c r="AY55" i="3" s="1"/>
  <c r="AT55" i="3"/>
  <c r="AQ55" i="3"/>
  <c r="AO56" i="3"/>
  <c r="AW55" i="3" l="1"/>
  <c r="AV55" i="3"/>
  <c r="AC56" i="3"/>
  <c r="AF56" i="3" l="1"/>
  <c r="AD56" i="3"/>
  <c r="AR56" i="3" l="1"/>
  <c r="AG56" i="3"/>
  <c r="AS56" i="3"/>
  <c r="AP56" i="3"/>
  <c r="AT56" i="3" l="1"/>
  <c r="AU56" i="3"/>
  <c r="BA56" i="3"/>
  <c r="BB56" i="3" s="1"/>
  <c r="AX56" i="3"/>
  <c r="AY56" i="3" s="1"/>
  <c r="AQ56" i="3"/>
  <c r="AO57" i="3"/>
  <c r="AW56" i="3" l="1"/>
  <c r="AV56" i="3"/>
  <c r="AC57" i="3"/>
  <c r="AF57" i="3" l="1"/>
  <c r="AD57" i="3"/>
  <c r="AR57" i="3" l="1"/>
  <c r="AG57" i="3"/>
  <c r="AS57" i="3"/>
  <c r="AP57" i="3"/>
  <c r="AT57" i="3" l="1"/>
  <c r="AU57" i="3"/>
  <c r="BA57" i="3"/>
  <c r="BB57" i="3" s="1"/>
  <c r="AX57" i="3"/>
  <c r="AY57" i="3" s="1"/>
  <c r="AQ57" i="3"/>
  <c r="AO58" i="3"/>
  <c r="AW57" i="3" l="1"/>
  <c r="AV57" i="3"/>
  <c r="AC58" i="3"/>
  <c r="AF58" i="3" l="1"/>
  <c r="AD58" i="3"/>
  <c r="AR58" i="3" l="1"/>
  <c r="AG58" i="3"/>
  <c r="AS58" i="3"/>
  <c r="AP58" i="3"/>
  <c r="AT58" i="3" l="1"/>
  <c r="AU58" i="3"/>
  <c r="BA58" i="3"/>
  <c r="BB58" i="3" s="1"/>
  <c r="AX58" i="3"/>
  <c r="AY58" i="3" s="1"/>
  <c r="AQ58" i="3"/>
  <c r="AO59" i="3"/>
  <c r="AW58" i="3" l="1"/>
  <c r="AV58" i="3"/>
  <c r="AC59" i="3"/>
  <c r="AF59" i="3" l="1"/>
  <c r="AD59" i="3"/>
  <c r="AR59" i="3" l="1"/>
  <c r="AG59" i="3"/>
  <c r="AS59" i="3"/>
  <c r="AP59" i="3"/>
  <c r="AT59" i="3" l="1"/>
  <c r="AU59" i="3"/>
  <c r="BA59" i="3"/>
  <c r="BB59" i="3" s="1"/>
  <c r="AX59" i="3"/>
  <c r="AY59" i="3" s="1"/>
  <c r="AQ59" i="3"/>
  <c r="AO60" i="3"/>
  <c r="AW59" i="3" l="1"/>
  <c r="AV59" i="3"/>
  <c r="AC60" i="3"/>
  <c r="AF60" i="3" l="1"/>
  <c r="AD60" i="3"/>
  <c r="AR60" i="3" l="1"/>
  <c r="AG60" i="3"/>
  <c r="AS60" i="3"/>
  <c r="AP60" i="3"/>
  <c r="AT60" i="3" l="1"/>
  <c r="AU60" i="3"/>
  <c r="BA60" i="3"/>
  <c r="BB60" i="3" s="1"/>
  <c r="AX60" i="3"/>
  <c r="AY60" i="3" s="1"/>
  <c r="AQ60" i="3"/>
  <c r="AO61" i="3"/>
  <c r="AW60" i="3" l="1"/>
  <c r="AV60" i="3"/>
  <c r="AC61" i="3"/>
  <c r="AF61" i="3" l="1"/>
  <c r="AD61" i="3"/>
  <c r="AR61" i="3" l="1"/>
  <c r="AG61" i="3"/>
  <c r="AS61" i="3"/>
  <c r="AP61" i="3"/>
  <c r="AT61" i="3" l="1"/>
  <c r="AU61" i="3"/>
  <c r="BA61" i="3"/>
  <c r="BB61" i="3" s="1"/>
  <c r="AX61" i="3"/>
  <c r="AY61" i="3" s="1"/>
  <c r="AQ61" i="3"/>
  <c r="AO62" i="3"/>
  <c r="AW61" i="3" l="1"/>
  <c r="AV61" i="3"/>
  <c r="AC62" i="3"/>
  <c r="AF62" i="3" l="1"/>
  <c r="AD62" i="3"/>
  <c r="AR62" i="3" l="1"/>
  <c r="AG62" i="3"/>
  <c r="AS62" i="3"/>
  <c r="AP62" i="3"/>
  <c r="AQ62" i="3" l="1"/>
  <c r="AO63" i="3"/>
  <c r="AT62" i="3"/>
  <c r="AU62" i="3"/>
  <c r="BA62" i="3"/>
  <c r="BB62" i="3" s="1"/>
  <c r="AX62" i="3"/>
  <c r="AY62" i="3" s="1"/>
  <c r="AW62" i="3" l="1"/>
  <c r="AV62" i="3"/>
  <c r="AC63" i="3"/>
  <c r="AF63" i="3" l="1"/>
  <c r="AD63" i="3"/>
  <c r="AR63" i="3" l="1"/>
  <c r="AG63" i="3"/>
  <c r="AS63" i="3"/>
  <c r="AP63" i="3"/>
  <c r="AT63" i="3" l="1"/>
  <c r="AU63" i="3"/>
  <c r="BA63" i="3"/>
  <c r="BB63" i="3" s="1"/>
  <c r="AX63" i="3"/>
  <c r="AY63" i="3" s="1"/>
  <c r="AQ63" i="3"/>
  <c r="AO64" i="3"/>
  <c r="AW63" i="3" l="1"/>
  <c r="AV63" i="3"/>
  <c r="AC64" i="3"/>
  <c r="AF64" i="3" l="1"/>
  <c r="AD64" i="3"/>
  <c r="AR64" i="3" l="1"/>
  <c r="AG64" i="3"/>
  <c r="AS64" i="3"/>
  <c r="AP64" i="3"/>
  <c r="AT64" i="3" l="1"/>
  <c r="AU64" i="3"/>
  <c r="BA64" i="3"/>
  <c r="BB64" i="3" s="1"/>
  <c r="AX64" i="3"/>
  <c r="AY64" i="3" s="1"/>
  <c r="AQ64" i="3"/>
  <c r="AO65" i="3"/>
  <c r="AW64" i="3" l="1"/>
  <c r="AV64" i="3"/>
  <c r="AC65" i="3"/>
  <c r="AF65" i="3" l="1"/>
  <c r="AD65" i="3"/>
  <c r="AR65" i="3" l="1"/>
  <c r="AG65" i="3"/>
  <c r="AS65" i="3"/>
  <c r="AP65" i="3"/>
  <c r="AT65" i="3" l="1"/>
  <c r="AU65" i="3"/>
  <c r="BA65" i="3"/>
  <c r="BB65" i="3" s="1"/>
  <c r="AX65" i="3"/>
  <c r="AY65" i="3" s="1"/>
  <c r="AQ65" i="3"/>
  <c r="AO66" i="3"/>
  <c r="AW65" i="3" l="1"/>
  <c r="AV65" i="3"/>
  <c r="AC66" i="3"/>
  <c r="AF66" i="3" l="1"/>
  <c r="AD66" i="3"/>
  <c r="AG66" i="3" l="1"/>
  <c r="AR66" i="3"/>
  <c r="AS66" i="3"/>
  <c r="AP66" i="3"/>
  <c r="AQ66" i="3" l="1"/>
  <c r="AO67" i="3"/>
  <c r="AT66" i="3"/>
  <c r="AU66" i="3"/>
  <c r="BA66" i="3"/>
  <c r="BB66" i="3" s="1"/>
  <c r="AX66" i="3"/>
  <c r="AY66" i="3" s="1"/>
  <c r="AW66" i="3" l="1"/>
  <c r="AV66" i="3"/>
  <c r="AC67" i="3"/>
  <c r="AF67" i="3" l="1"/>
  <c r="AD67" i="3"/>
  <c r="AG67" i="3" l="1"/>
  <c r="AR67" i="3"/>
  <c r="AS67" i="3"/>
  <c r="AP67" i="3"/>
  <c r="AQ67" i="3" l="1"/>
  <c r="AO68" i="3"/>
  <c r="AT67" i="3"/>
  <c r="AU67" i="3"/>
  <c r="AX67" i="3"/>
  <c r="AY67" i="3" s="1"/>
  <c r="BA67" i="3"/>
  <c r="BB67" i="3" s="1"/>
  <c r="AW67" i="3" l="1"/>
  <c r="AV67" i="3"/>
  <c r="AC68" i="3"/>
  <c r="AF68" i="3" l="1"/>
  <c r="AD68" i="3"/>
  <c r="AR68" i="3" l="1"/>
  <c r="AG68" i="3"/>
  <c r="AS68" i="3"/>
  <c r="AP68" i="3"/>
  <c r="AT68" i="3" l="1"/>
  <c r="AU68" i="3"/>
  <c r="BA68" i="3"/>
  <c r="BB68" i="3" s="1"/>
  <c r="AX68" i="3"/>
  <c r="AY68" i="3" s="1"/>
  <c r="AQ68" i="3"/>
  <c r="AO69" i="3"/>
  <c r="AW68" i="3" l="1"/>
  <c r="AV68" i="3"/>
  <c r="AC69" i="3"/>
  <c r="AF69" i="3" l="1"/>
  <c r="AD69" i="3"/>
  <c r="AG69" i="3" l="1"/>
  <c r="AR69" i="3"/>
  <c r="AS69" i="3"/>
  <c r="AP69" i="3"/>
  <c r="AQ69" i="3" l="1"/>
  <c r="AO70" i="3"/>
  <c r="AT69" i="3"/>
  <c r="AU69" i="3"/>
  <c r="BA69" i="3"/>
  <c r="BB69" i="3" s="1"/>
  <c r="AX69" i="3"/>
  <c r="AY69" i="3" s="1"/>
  <c r="AW69" i="3" l="1"/>
  <c r="AV69" i="3"/>
  <c r="AC70" i="3"/>
  <c r="AF70" i="3" l="1"/>
  <c r="AD70" i="3"/>
  <c r="AR70" i="3" l="1"/>
  <c r="AG70" i="3"/>
  <c r="AS70" i="3"/>
  <c r="AP70" i="3"/>
  <c r="AQ70" i="3" l="1"/>
  <c r="AO71" i="3"/>
  <c r="AT70" i="3"/>
  <c r="AU70" i="3"/>
  <c r="BA70" i="3"/>
  <c r="BB70" i="3" s="1"/>
  <c r="AX70" i="3"/>
  <c r="AY70" i="3" s="1"/>
  <c r="AW70" i="3" l="1"/>
  <c r="AV70" i="3"/>
  <c r="AC71" i="3"/>
  <c r="AF71" i="3" l="1"/>
  <c r="AD71" i="3"/>
  <c r="AG71" i="3" l="1"/>
  <c r="AR71" i="3"/>
  <c r="AS71" i="3"/>
  <c r="AP71" i="3"/>
  <c r="AQ71" i="3" l="1"/>
  <c r="AO72" i="3"/>
  <c r="AT71" i="3"/>
  <c r="AU71" i="3"/>
  <c r="AX71" i="3"/>
  <c r="AY71" i="3" s="1"/>
  <c r="BA71" i="3"/>
  <c r="BB71" i="3" s="1"/>
  <c r="AW71" i="3" l="1"/>
  <c r="AV71" i="3"/>
  <c r="AC72" i="3"/>
  <c r="AF72" i="3" l="1"/>
  <c r="AD72" i="3"/>
  <c r="AR72" i="3" l="1"/>
  <c r="AG72" i="3"/>
  <c r="AS72" i="3"/>
  <c r="AP72" i="3"/>
  <c r="AQ72" i="3" l="1"/>
  <c r="AO73" i="3"/>
  <c r="AT72" i="3"/>
  <c r="AU72" i="3"/>
  <c r="BA72" i="3"/>
  <c r="BB72" i="3" s="1"/>
  <c r="AX72" i="3"/>
  <c r="AY72" i="3" s="1"/>
  <c r="AW72" i="3" l="1"/>
  <c r="AV72" i="3"/>
  <c r="AC73" i="3"/>
  <c r="AF73" i="3" l="1"/>
  <c r="AD73" i="3"/>
  <c r="AR73" i="3" l="1"/>
  <c r="AG73" i="3"/>
  <c r="AS73" i="3"/>
  <c r="AP73" i="3"/>
  <c r="AQ73" i="3" l="1"/>
  <c r="AO74" i="3"/>
  <c r="AT73" i="3"/>
  <c r="AU73" i="3"/>
  <c r="BA73" i="3"/>
  <c r="BB73" i="3" s="1"/>
  <c r="AX73" i="3"/>
  <c r="AY73" i="3" s="1"/>
  <c r="AW73" i="3" l="1"/>
  <c r="AV73" i="3"/>
  <c r="AC74" i="3"/>
  <c r="AD74" i="3" l="1"/>
  <c r="AF74" i="3"/>
  <c r="AG74" i="3" l="1"/>
  <c r="AS74" i="3"/>
  <c r="AR74" i="3"/>
  <c r="AP74" i="3"/>
  <c r="AQ74" i="3" l="1"/>
  <c r="AO75" i="3"/>
  <c r="AT74" i="3"/>
  <c r="AU74" i="3"/>
  <c r="AX74" i="3"/>
  <c r="AY74" i="3" s="1"/>
  <c r="BA74" i="3"/>
  <c r="BB74" i="3" s="1"/>
  <c r="AW74" i="3" l="1"/>
  <c r="AV74" i="3"/>
  <c r="AC75" i="3"/>
  <c r="AF75" i="3" l="1"/>
  <c r="AD75" i="3"/>
  <c r="AR75" i="3" l="1"/>
  <c r="AG75" i="3"/>
  <c r="AS75" i="3"/>
  <c r="AP75" i="3"/>
  <c r="AQ75" i="3" l="1"/>
  <c r="AO76" i="3"/>
  <c r="AT75" i="3"/>
  <c r="AU75" i="3"/>
  <c r="BA75" i="3"/>
  <c r="BB75" i="3" s="1"/>
  <c r="AX75" i="3"/>
  <c r="AY75" i="3" s="1"/>
  <c r="AW75" i="3" l="1"/>
  <c r="AV75" i="3"/>
  <c r="AC76" i="3"/>
  <c r="AF76" i="3" l="1"/>
  <c r="AD76" i="3"/>
  <c r="AR76" i="3" l="1"/>
  <c r="AG76" i="3"/>
  <c r="AS76" i="3"/>
  <c r="AP76" i="3"/>
  <c r="AQ76" i="3" l="1"/>
  <c r="AO77" i="3"/>
  <c r="AT76" i="3"/>
  <c r="BA76" i="3"/>
  <c r="BB76" i="3" s="1"/>
  <c r="AU76" i="3"/>
  <c r="AX76" i="3"/>
  <c r="AY76" i="3" s="1"/>
  <c r="AW76" i="3" l="1"/>
  <c r="AV76" i="3"/>
  <c r="AC77" i="3"/>
  <c r="AF77" i="3" l="1"/>
  <c r="AD77" i="3"/>
  <c r="AG77" i="3" l="1"/>
  <c r="AS77" i="3"/>
  <c r="AR77" i="3"/>
  <c r="AP77" i="3"/>
  <c r="AQ77" i="3" l="1"/>
  <c r="AO78" i="3"/>
  <c r="AT77" i="3"/>
  <c r="BA77" i="3"/>
  <c r="BB77" i="3" s="1"/>
  <c r="AX77" i="3"/>
  <c r="AY77" i="3" s="1"/>
  <c r="AU77" i="3"/>
  <c r="AW77" i="3" l="1"/>
  <c r="AV77" i="3"/>
  <c r="AC78" i="3"/>
  <c r="AF78" i="3" l="1"/>
  <c r="AD78" i="3"/>
  <c r="AR78" i="3" l="1"/>
  <c r="AS78" i="3"/>
  <c r="AG78" i="3"/>
  <c r="AP78" i="3"/>
  <c r="AQ78" i="3" l="1"/>
  <c r="AO79" i="3"/>
  <c r="AT78" i="3"/>
  <c r="AU78" i="3"/>
  <c r="AX78" i="3"/>
  <c r="AY78" i="3" s="1"/>
  <c r="BA78" i="3"/>
  <c r="BB78" i="3" s="1"/>
  <c r="AW78" i="3" l="1"/>
  <c r="AV78" i="3"/>
  <c r="AC79" i="3"/>
  <c r="AD79" i="3" l="1"/>
  <c r="AF79" i="3"/>
  <c r="AR79" i="3" l="1"/>
  <c r="AS79" i="3"/>
  <c r="AG79" i="3"/>
  <c r="AP79" i="3"/>
  <c r="AQ79" i="3" l="1"/>
  <c r="AO80" i="3"/>
  <c r="AT79" i="3"/>
  <c r="BA79" i="3"/>
  <c r="BB79" i="3" s="1"/>
  <c r="AX79" i="3"/>
  <c r="AY79" i="3" s="1"/>
  <c r="AU79" i="3"/>
  <c r="AW79" i="3" l="1"/>
  <c r="AV79" i="3"/>
  <c r="AC80" i="3"/>
  <c r="AF80" i="3" l="1"/>
  <c r="AD80" i="3"/>
  <c r="AR80" i="3" l="1"/>
  <c r="AS80" i="3"/>
  <c r="AG80" i="3"/>
  <c r="AP80" i="3"/>
  <c r="AQ80" i="3" l="1"/>
  <c r="AO81" i="3"/>
  <c r="AT80" i="3"/>
  <c r="AU80" i="3"/>
  <c r="AX80" i="3"/>
  <c r="AY80" i="3" s="1"/>
  <c r="BA80" i="3"/>
  <c r="BB80" i="3" s="1"/>
  <c r="AW80" i="3" l="1"/>
  <c r="AV80" i="3"/>
  <c r="AC81" i="3"/>
  <c r="AD81" i="3" l="1"/>
  <c r="AF81" i="3"/>
  <c r="AG81" i="3" l="1"/>
  <c r="AS81" i="3"/>
  <c r="AR81" i="3"/>
  <c r="AP81" i="3"/>
  <c r="AQ81" i="3" l="1"/>
  <c r="AO82" i="3"/>
  <c r="AT81" i="3"/>
  <c r="BA81" i="3"/>
  <c r="BB81" i="3" s="1"/>
  <c r="AX81" i="3"/>
  <c r="AY81" i="3" s="1"/>
  <c r="AU81" i="3"/>
  <c r="AW81" i="3" l="1"/>
  <c r="AV81" i="3"/>
  <c r="AC82" i="3"/>
  <c r="AF82" i="3" l="1"/>
  <c r="AD82" i="3"/>
  <c r="AR82" i="3" l="1"/>
  <c r="AS82" i="3"/>
  <c r="AG82" i="3"/>
  <c r="AP82" i="3"/>
  <c r="AQ82" i="3" l="1"/>
  <c r="AO83" i="3"/>
  <c r="AT82" i="3"/>
  <c r="AU82" i="3"/>
  <c r="BA82" i="3"/>
  <c r="BB82" i="3" s="1"/>
  <c r="AX82" i="3"/>
  <c r="AY82" i="3" s="1"/>
  <c r="AW82" i="3" l="1"/>
  <c r="AV82" i="3"/>
  <c r="AC83" i="3"/>
  <c r="AD83" i="3" l="1"/>
  <c r="AF83" i="3"/>
  <c r="AR83" i="3" l="1"/>
  <c r="AS83" i="3"/>
  <c r="AG83" i="3"/>
  <c r="AP83" i="3"/>
  <c r="AQ83" i="3" l="1"/>
  <c r="AO84" i="3"/>
  <c r="AT83" i="3"/>
  <c r="BA83" i="3"/>
  <c r="BB83" i="3" s="1"/>
  <c r="AX83" i="3"/>
  <c r="AY83" i="3" s="1"/>
  <c r="AU83" i="3"/>
  <c r="AW83" i="3" l="1"/>
  <c r="AV83" i="3"/>
  <c r="AC84" i="3"/>
  <c r="AF84" i="3" l="1"/>
  <c r="AD84" i="3"/>
  <c r="AR84" i="3" l="1"/>
  <c r="AS84" i="3"/>
  <c r="AG84" i="3"/>
  <c r="AP84" i="3"/>
  <c r="AQ84" i="3" l="1"/>
  <c r="AO85" i="3"/>
  <c r="AT84" i="3"/>
  <c r="AU84" i="3"/>
  <c r="AX84" i="3"/>
  <c r="AY84" i="3" s="1"/>
  <c r="BA84" i="3"/>
  <c r="BB84" i="3" s="1"/>
  <c r="AW84" i="3" l="1"/>
  <c r="AV84" i="3"/>
  <c r="AC85" i="3"/>
  <c r="AD85" i="3" l="1"/>
  <c r="AF85" i="3"/>
  <c r="AR85" i="3" l="1"/>
  <c r="AS85" i="3"/>
  <c r="AG85" i="3"/>
  <c r="AP85" i="3"/>
  <c r="AQ85" i="3" l="1"/>
  <c r="AO86" i="3"/>
  <c r="AT85" i="3"/>
  <c r="BA85" i="3"/>
  <c r="BB85" i="3" s="1"/>
  <c r="AX85" i="3"/>
  <c r="AY85" i="3" s="1"/>
  <c r="AU85" i="3"/>
  <c r="AW85" i="3" l="1"/>
  <c r="AV85" i="3"/>
  <c r="AC86" i="3"/>
  <c r="AF86" i="3" l="1"/>
  <c r="AD86" i="3"/>
  <c r="AR86" i="3" l="1"/>
  <c r="AS86" i="3"/>
  <c r="AG86" i="3"/>
  <c r="AP86" i="3"/>
  <c r="AQ86" i="3" l="1"/>
  <c r="AO87" i="3"/>
  <c r="AT86" i="3"/>
  <c r="AU86" i="3"/>
  <c r="BA86" i="3"/>
  <c r="BB86" i="3" s="1"/>
  <c r="AX86" i="3"/>
  <c r="AY86" i="3" s="1"/>
  <c r="AW86" i="3" l="1"/>
  <c r="AV86" i="3"/>
  <c r="AC87" i="3"/>
  <c r="AD87" i="3" l="1"/>
  <c r="AF87" i="3"/>
  <c r="AG87" i="3" l="1"/>
  <c r="AS87" i="3"/>
  <c r="AR87" i="3"/>
  <c r="AP87" i="3"/>
  <c r="AQ87" i="3" l="1"/>
  <c r="AO88" i="3"/>
  <c r="AT87" i="3"/>
  <c r="BA87" i="3"/>
  <c r="BB87" i="3" s="1"/>
  <c r="AX87" i="3"/>
  <c r="AY87" i="3" s="1"/>
  <c r="AU87" i="3"/>
  <c r="AW87" i="3" l="1"/>
  <c r="AV87" i="3"/>
  <c r="AC88" i="3"/>
  <c r="AF88" i="3" l="1"/>
  <c r="AD88" i="3"/>
  <c r="AR88" i="3" l="1"/>
  <c r="AS88" i="3"/>
  <c r="AG88" i="3"/>
  <c r="AP88" i="3"/>
  <c r="AQ88" i="3" l="1"/>
  <c r="AO89" i="3"/>
  <c r="AT88" i="3"/>
  <c r="AU88" i="3"/>
  <c r="AX88" i="3"/>
  <c r="AY88" i="3" s="1"/>
  <c r="BA88" i="3"/>
  <c r="BB88" i="3" s="1"/>
  <c r="AW88" i="3" l="1"/>
  <c r="AV88" i="3"/>
  <c r="AC89" i="3"/>
  <c r="AD89" i="3" l="1"/>
  <c r="AF89" i="3"/>
  <c r="AR89" i="3" l="1"/>
  <c r="AS89" i="3"/>
  <c r="AG89" i="3"/>
  <c r="AP89" i="3"/>
  <c r="AQ89" i="3" l="1"/>
  <c r="AO90" i="3"/>
  <c r="AT89" i="3"/>
  <c r="BA89" i="3"/>
  <c r="BB89" i="3" s="1"/>
  <c r="AX89" i="3"/>
  <c r="AY89" i="3" s="1"/>
  <c r="AU89" i="3"/>
  <c r="AW89" i="3" l="1"/>
  <c r="AV89" i="3"/>
  <c r="AC90" i="3"/>
  <c r="AF90" i="3" l="1"/>
  <c r="AD90" i="3"/>
  <c r="AR90" i="3" l="1"/>
  <c r="AG90" i="3"/>
  <c r="AS90" i="3"/>
  <c r="AP90" i="3"/>
  <c r="AQ90" i="3" l="1"/>
  <c r="AO91" i="3"/>
  <c r="AT90" i="3"/>
  <c r="AU90" i="3"/>
  <c r="AX90" i="3"/>
  <c r="AY90" i="3" s="1"/>
  <c r="BA90" i="3"/>
  <c r="BB90" i="3" s="1"/>
  <c r="AW90" i="3" l="1"/>
  <c r="AV90" i="3"/>
  <c r="AC91" i="3"/>
  <c r="AF91" i="3" l="1"/>
  <c r="AD91" i="3"/>
  <c r="AR91" i="3" l="1"/>
  <c r="AG91" i="3"/>
  <c r="AS91" i="3"/>
  <c r="AP91" i="3"/>
  <c r="AQ91" i="3" l="1"/>
  <c r="AO92" i="3"/>
  <c r="AT91" i="3"/>
  <c r="AU91" i="3"/>
  <c r="BA91" i="3"/>
  <c r="BB91" i="3" s="1"/>
  <c r="AX91" i="3"/>
  <c r="AY91" i="3" s="1"/>
  <c r="AW91" i="3" l="1"/>
  <c r="AV91" i="3"/>
  <c r="AC92" i="3"/>
  <c r="AF92" i="3" l="1"/>
  <c r="AD92" i="3"/>
  <c r="AR92" i="3" l="1"/>
  <c r="AG92" i="3"/>
  <c r="AS92" i="3"/>
  <c r="AP92" i="3"/>
  <c r="AO93" i="3" l="1"/>
  <c r="AQ92" i="3"/>
  <c r="AT92" i="3"/>
  <c r="AU92" i="3"/>
  <c r="BA92" i="3"/>
  <c r="BB92" i="3" s="1"/>
  <c r="AX92" i="3"/>
  <c r="AY92" i="3" s="1"/>
  <c r="AW92" i="3" l="1"/>
  <c r="AV92" i="3"/>
  <c r="AC93" i="3"/>
  <c r="AF93" i="3" l="1"/>
  <c r="AD93" i="3"/>
  <c r="AR93" i="3" l="1"/>
  <c r="AG93" i="3"/>
  <c r="AS93" i="3"/>
  <c r="AP93" i="3"/>
  <c r="AT93" i="3" l="1"/>
  <c r="AU93" i="3"/>
  <c r="BA93" i="3"/>
  <c r="BB93" i="3" s="1"/>
  <c r="AX93" i="3"/>
  <c r="AY93" i="3" s="1"/>
  <c r="AQ93" i="3"/>
  <c r="AO94" i="3"/>
  <c r="AW93" i="3" l="1"/>
  <c r="AV93" i="3"/>
  <c r="AC94" i="3"/>
  <c r="AF94" i="3" l="1"/>
  <c r="AD94" i="3"/>
  <c r="AR94" i="3" l="1"/>
  <c r="AG94" i="3"/>
  <c r="AS94" i="3"/>
  <c r="AP94" i="3"/>
  <c r="AQ94" i="3" l="1"/>
  <c r="AO95" i="3"/>
  <c r="AT94" i="3"/>
  <c r="AU94" i="3"/>
  <c r="BA94" i="3"/>
  <c r="BB94" i="3" s="1"/>
  <c r="AX94" i="3"/>
  <c r="AY94" i="3" s="1"/>
  <c r="AW94" i="3" l="1"/>
  <c r="AV94" i="3"/>
  <c r="AC95" i="3"/>
  <c r="AF95" i="3" l="1"/>
  <c r="AD95" i="3"/>
  <c r="AR95" i="3" l="1"/>
  <c r="AG95" i="3"/>
  <c r="AS95" i="3"/>
  <c r="AP95" i="3"/>
  <c r="AT95" i="3" l="1"/>
  <c r="AU95" i="3"/>
  <c r="BA95" i="3"/>
  <c r="BB95" i="3" s="1"/>
  <c r="AX95" i="3"/>
  <c r="AY95" i="3" s="1"/>
  <c r="AQ95" i="3"/>
  <c r="AO96" i="3"/>
  <c r="AW95" i="3" l="1"/>
  <c r="AV95" i="3"/>
  <c r="AC96" i="3"/>
  <c r="AF96" i="3" l="1"/>
  <c r="AD96" i="3"/>
  <c r="AR96" i="3" l="1"/>
  <c r="AG96" i="3"/>
  <c r="AS96" i="3"/>
  <c r="AP96" i="3"/>
  <c r="AQ96" i="3" l="1"/>
  <c r="AO97" i="3"/>
  <c r="AT96" i="3"/>
  <c r="AU96" i="3"/>
  <c r="BA96" i="3"/>
  <c r="BB96" i="3" s="1"/>
  <c r="AX96" i="3"/>
  <c r="AY96" i="3" s="1"/>
  <c r="AW96" i="3" l="1"/>
  <c r="AV96" i="3"/>
  <c r="AC97" i="3"/>
  <c r="AF97" i="3" l="1"/>
  <c r="AD97" i="3"/>
  <c r="AG97" i="3" l="1"/>
  <c r="AR97" i="3"/>
  <c r="AS97" i="3"/>
  <c r="AP97" i="3"/>
  <c r="AQ97" i="3" l="1"/>
  <c r="AO98" i="3"/>
  <c r="AT97" i="3"/>
  <c r="AU97" i="3"/>
  <c r="BA97" i="3"/>
  <c r="BB97" i="3" s="1"/>
  <c r="AX97" i="3"/>
  <c r="AY97" i="3" s="1"/>
  <c r="AW97" i="3" l="1"/>
  <c r="AV97" i="3"/>
  <c r="AC98" i="3"/>
  <c r="AF98" i="3" l="1"/>
  <c r="AD98" i="3"/>
  <c r="AR98" i="3" l="1"/>
  <c r="AG98" i="3"/>
  <c r="AS98" i="3"/>
  <c r="AP98" i="3"/>
  <c r="AQ98" i="3" l="1"/>
  <c r="AO99" i="3"/>
  <c r="AT98" i="3"/>
  <c r="AU98" i="3"/>
  <c r="BA98" i="3"/>
  <c r="BB98" i="3" s="1"/>
  <c r="AX98" i="3"/>
  <c r="AY98" i="3" s="1"/>
  <c r="AW98" i="3" l="1"/>
  <c r="AV98" i="3"/>
  <c r="AC99" i="3"/>
  <c r="AF99" i="3" l="1"/>
  <c r="AD99" i="3"/>
  <c r="AR99" i="3" l="1"/>
  <c r="AG99" i="3"/>
  <c r="AS99" i="3"/>
  <c r="AP99" i="3"/>
  <c r="AQ99" i="3" l="1"/>
  <c r="AO100" i="3"/>
  <c r="AT99" i="3"/>
  <c r="AU99" i="3"/>
  <c r="BA99" i="3"/>
  <c r="BB99" i="3" s="1"/>
  <c r="AX99" i="3"/>
  <c r="AY99" i="3" s="1"/>
  <c r="AW99" i="3" l="1"/>
  <c r="AV99" i="3"/>
  <c r="AC100" i="3"/>
  <c r="AD100" i="3" l="1"/>
  <c r="AF100" i="3"/>
  <c r="AR100" i="3" l="1"/>
  <c r="AG100" i="3"/>
  <c r="AS100" i="3"/>
  <c r="AP100" i="3"/>
  <c r="AQ100" i="3" l="1"/>
  <c r="AO101" i="3"/>
  <c r="AT100" i="3"/>
  <c r="AU100" i="3"/>
  <c r="BA100" i="3"/>
  <c r="BB100" i="3" s="1"/>
  <c r="AX100" i="3"/>
  <c r="AY100" i="3" s="1"/>
  <c r="AW100" i="3" l="1"/>
  <c r="AV100" i="3"/>
  <c r="AC101" i="3"/>
  <c r="AD101" i="3" l="1"/>
  <c r="AF101" i="3"/>
  <c r="AR101" i="3" l="1"/>
  <c r="AG101" i="3"/>
  <c r="AS101" i="3"/>
  <c r="AP101" i="3"/>
  <c r="AQ101" i="3" l="1"/>
  <c r="AO102" i="3"/>
  <c r="AT101" i="3"/>
  <c r="AU101" i="3"/>
  <c r="BA101" i="3"/>
  <c r="BB101" i="3" s="1"/>
  <c r="AX101" i="3"/>
  <c r="AY101" i="3" s="1"/>
  <c r="AW101" i="3" l="1"/>
  <c r="AV101" i="3"/>
  <c r="AC102" i="3"/>
  <c r="AD102" i="3" l="1"/>
  <c r="AF102" i="3"/>
  <c r="AR102" i="3" l="1"/>
  <c r="AG102" i="3"/>
  <c r="AS102" i="3"/>
  <c r="AP102" i="3"/>
  <c r="AQ102" i="3" l="1"/>
  <c r="AO103" i="3"/>
  <c r="AT102" i="3"/>
  <c r="AU102" i="3"/>
  <c r="BA102" i="3"/>
  <c r="BB102" i="3" s="1"/>
  <c r="AX102" i="3"/>
  <c r="AY102" i="3" s="1"/>
  <c r="AW102" i="3" l="1"/>
  <c r="AV102" i="3"/>
  <c r="AC103" i="3"/>
  <c r="AD103" i="3" l="1"/>
  <c r="AF103" i="3"/>
  <c r="AR103" i="3" l="1"/>
  <c r="AG103" i="3"/>
  <c r="AS103" i="3"/>
  <c r="AP103" i="3"/>
  <c r="AQ103" i="3" l="1"/>
  <c r="AO104" i="3"/>
  <c r="AT103" i="3"/>
  <c r="AU103" i="3"/>
  <c r="BA103" i="3"/>
  <c r="BB103" i="3" s="1"/>
  <c r="AX103" i="3"/>
  <c r="AY103" i="3" s="1"/>
  <c r="AW103" i="3" l="1"/>
  <c r="AV103" i="3"/>
  <c r="AC104" i="3"/>
  <c r="AD104" i="3" l="1"/>
  <c r="AF104" i="3"/>
  <c r="AR104" i="3" l="1"/>
  <c r="AG104" i="3"/>
  <c r="AS104" i="3"/>
  <c r="AP104" i="3"/>
  <c r="AQ104" i="3" l="1"/>
  <c r="AO105" i="3"/>
  <c r="AT104" i="3"/>
  <c r="AU104" i="3"/>
  <c r="BA104" i="3"/>
  <c r="BB104" i="3" s="1"/>
  <c r="AX104" i="3"/>
  <c r="AY104" i="3" s="1"/>
  <c r="AW104" i="3" l="1"/>
  <c r="AV104" i="3"/>
  <c r="AC105" i="3"/>
  <c r="AD105" i="3" l="1"/>
  <c r="AF105" i="3"/>
  <c r="AR105" i="3" l="1"/>
  <c r="AG105" i="3"/>
  <c r="AS105" i="3"/>
  <c r="AP105" i="3"/>
  <c r="AQ105" i="3" l="1"/>
  <c r="AO106" i="3"/>
  <c r="AT105" i="3"/>
  <c r="AU105" i="3"/>
  <c r="BA105" i="3"/>
  <c r="BB105" i="3" s="1"/>
  <c r="AX105" i="3"/>
  <c r="AY105" i="3" s="1"/>
  <c r="AW105" i="3" l="1"/>
  <c r="AV105" i="3"/>
  <c r="AC106" i="3"/>
  <c r="AD106" i="3" l="1"/>
  <c r="AF106" i="3"/>
  <c r="AR106" i="3" l="1"/>
  <c r="AG106" i="3"/>
  <c r="AS106" i="3"/>
  <c r="AP106" i="3"/>
  <c r="AT106" i="3" l="1"/>
  <c r="AU106" i="3"/>
  <c r="BA106" i="3"/>
  <c r="BB106" i="3" s="1"/>
  <c r="AX106" i="3"/>
  <c r="AY106" i="3" s="1"/>
  <c r="AQ106" i="3"/>
  <c r="AO107" i="3"/>
  <c r="AW106" i="3" l="1"/>
  <c r="AV106" i="3"/>
  <c r="AC107" i="3"/>
  <c r="AD107" i="3" l="1"/>
  <c r="AF107" i="3"/>
  <c r="AR107" i="3" l="1"/>
  <c r="AG107" i="3"/>
  <c r="AS107" i="3"/>
  <c r="AP107" i="3"/>
  <c r="AT107" i="3" l="1"/>
  <c r="AU107" i="3"/>
  <c r="BA107" i="3"/>
  <c r="BB107" i="3" s="1"/>
  <c r="AX107" i="3"/>
  <c r="AY107" i="3" s="1"/>
  <c r="AQ107" i="3"/>
  <c r="AO108" i="3"/>
  <c r="AW107" i="3" l="1"/>
  <c r="AV107" i="3"/>
  <c r="AC108" i="3"/>
  <c r="AD108" i="3" l="1"/>
  <c r="AF108" i="3"/>
  <c r="AG108" i="3" l="1"/>
  <c r="AR108" i="3"/>
  <c r="AS108" i="3"/>
  <c r="AP108" i="3"/>
  <c r="AT108" i="3" l="1"/>
  <c r="AX108" i="3"/>
  <c r="AY108" i="3" s="1"/>
  <c r="AU108" i="3"/>
  <c r="BA108" i="3"/>
  <c r="BB108" i="3" s="1"/>
  <c r="AQ108" i="3"/>
  <c r="AO109" i="3"/>
  <c r="AW108" i="3" l="1"/>
  <c r="AV108" i="3"/>
  <c r="AC109" i="3"/>
  <c r="AD109" i="3" l="1"/>
  <c r="AF109" i="3"/>
  <c r="AG109" i="3" l="1"/>
  <c r="AR109" i="3"/>
  <c r="AS109" i="3"/>
  <c r="AP109" i="3"/>
  <c r="AQ109" i="3" l="1"/>
  <c r="AO110" i="3"/>
  <c r="AT109" i="3"/>
  <c r="AU109" i="3"/>
  <c r="BA109" i="3"/>
  <c r="BB109" i="3" s="1"/>
  <c r="AX109" i="3"/>
  <c r="AY109" i="3" s="1"/>
  <c r="AW109" i="3" l="1"/>
  <c r="AV109" i="3"/>
  <c r="AC110" i="3"/>
  <c r="AD110" i="3" l="1"/>
  <c r="AF110" i="3"/>
  <c r="AG110" i="3" l="1"/>
  <c r="AR110" i="3"/>
  <c r="AS110" i="3"/>
  <c r="AP110" i="3"/>
  <c r="AQ110" i="3" l="1"/>
  <c r="AO111" i="3"/>
  <c r="AT110" i="3"/>
  <c r="AU110" i="3"/>
  <c r="BA110" i="3"/>
  <c r="BB110" i="3" s="1"/>
  <c r="AX110" i="3"/>
  <c r="AY110" i="3" s="1"/>
  <c r="AW110" i="3" l="1"/>
  <c r="AV110" i="3"/>
  <c r="AC111" i="3"/>
  <c r="AD111" i="3" l="1"/>
  <c r="AF111" i="3"/>
  <c r="AG111" i="3" l="1"/>
  <c r="AR111" i="3"/>
  <c r="AS111" i="3"/>
  <c r="AP111" i="3"/>
  <c r="AT111" i="3" l="1"/>
  <c r="BA111" i="3"/>
  <c r="BB111" i="3" s="1"/>
  <c r="AU111" i="3"/>
  <c r="AX111" i="3"/>
  <c r="AY111" i="3" s="1"/>
  <c r="AQ111" i="3"/>
  <c r="AO112" i="3"/>
  <c r="AW111" i="3" l="1"/>
  <c r="AV111" i="3"/>
  <c r="AC112" i="3"/>
  <c r="AF112" i="3" l="1"/>
  <c r="AD112" i="3"/>
  <c r="AG112" i="3" l="1"/>
  <c r="AR112" i="3"/>
  <c r="AS112" i="3"/>
  <c r="AP112" i="3"/>
  <c r="AT112" i="3" l="1"/>
  <c r="AU112" i="3"/>
  <c r="BA112" i="3"/>
  <c r="BB112" i="3" s="1"/>
  <c r="AX112" i="3"/>
  <c r="AY112" i="3" s="1"/>
  <c r="AO113" i="3"/>
  <c r="AQ112" i="3"/>
  <c r="AW112" i="3" l="1"/>
  <c r="AV112" i="3"/>
  <c r="AC113" i="3"/>
  <c r="AF113" i="3" l="1"/>
  <c r="AD113" i="3"/>
  <c r="AG113" i="3" l="1"/>
  <c r="AR113" i="3"/>
  <c r="AS113" i="3"/>
  <c r="AP113" i="3"/>
  <c r="AQ113" i="3" l="1"/>
  <c r="AO114" i="3"/>
  <c r="AT113" i="3"/>
  <c r="AU113" i="3"/>
  <c r="BA113" i="3"/>
  <c r="BB113" i="3" s="1"/>
  <c r="AX113" i="3"/>
  <c r="AY113" i="3" s="1"/>
  <c r="AW113" i="3" l="1"/>
  <c r="AV113" i="3"/>
  <c r="AC114" i="3"/>
  <c r="AD114" i="3" l="1"/>
  <c r="AF114" i="3"/>
  <c r="AG114" i="3" l="1"/>
  <c r="AR114" i="3"/>
  <c r="AS114" i="3"/>
  <c r="AP114" i="3"/>
  <c r="AT114" i="3" l="1"/>
  <c r="AU114" i="3"/>
  <c r="BA114" i="3"/>
  <c r="BB114" i="3" s="1"/>
  <c r="AX114" i="3"/>
  <c r="AY114" i="3" s="1"/>
  <c r="AO115" i="3"/>
  <c r="AQ114" i="3"/>
  <c r="AW114" i="3" l="1"/>
  <c r="AV114" i="3"/>
  <c r="AC115" i="3"/>
  <c r="AD115" i="3" l="1"/>
  <c r="AF115" i="3"/>
  <c r="AG115" i="3" l="1"/>
  <c r="AR115" i="3"/>
  <c r="AS115" i="3"/>
  <c r="AP115" i="3"/>
  <c r="AT115" i="3" l="1"/>
  <c r="AX115" i="3"/>
  <c r="AY115" i="3" s="1"/>
  <c r="AU115" i="3"/>
  <c r="BA115" i="3"/>
  <c r="BB115" i="3" s="1"/>
  <c r="AQ115" i="3"/>
  <c r="AO116" i="3"/>
  <c r="AW115" i="3" l="1"/>
  <c r="AV115" i="3"/>
  <c r="AC116" i="3"/>
  <c r="AF116" i="3" l="1"/>
  <c r="AD116" i="3"/>
  <c r="AG116" i="3" l="1"/>
  <c r="AR116" i="3"/>
  <c r="AS116" i="3"/>
  <c r="AP116" i="3"/>
  <c r="AT116" i="3" l="1"/>
  <c r="AU116" i="3"/>
  <c r="BA116" i="3"/>
  <c r="BB116" i="3" s="1"/>
  <c r="AX116" i="3"/>
  <c r="AY116" i="3" s="1"/>
  <c r="AQ116" i="3"/>
  <c r="AO117" i="3"/>
  <c r="AW116" i="3" l="1"/>
  <c r="AV116" i="3"/>
  <c r="AC117" i="3"/>
  <c r="AF117" i="3" l="1"/>
  <c r="AD117" i="3"/>
  <c r="AG117" i="3" l="1"/>
  <c r="AR117" i="3"/>
  <c r="AS117" i="3"/>
  <c r="AP117" i="3"/>
  <c r="AT117" i="3" l="1"/>
  <c r="AU117" i="3"/>
  <c r="BA117" i="3"/>
  <c r="BB117" i="3" s="1"/>
  <c r="AX117" i="3"/>
  <c r="AY117" i="3" s="1"/>
  <c r="AQ117" i="3"/>
  <c r="AO118" i="3"/>
  <c r="AW117" i="3" l="1"/>
  <c r="AV117" i="3"/>
  <c r="AC118" i="3"/>
  <c r="AF118" i="3" l="1"/>
  <c r="AD118" i="3"/>
  <c r="AG118" i="3" l="1"/>
  <c r="AR118" i="3"/>
  <c r="AS118" i="3"/>
  <c r="AP118" i="3"/>
  <c r="AT118" i="3" l="1"/>
  <c r="AU118" i="3"/>
  <c r="BA118" i="3"/>
  <c r="BB118" i="3" s="1"/>
  <c r="AX118" i="3"/>
  <c r="AY118" i="3" s="1"/>
  <c r="AQ118" i="3"/>
  <c r="AO119" i="3"/>
  <c r="AW118" i="3" l="1"/>
  <c r="AV118" i="3"/>
  <c r="AC119" i="3"/>
  <c r="AF119" i="3" l="1"/>
  <c r="AD119" i="3"/>
  <c r="AG119" i="3" l="1"/>
  <c r="AR119" i="3"/>
  <c r="AS119" i="3"/>
  <c r="AP119" i="3"/>
  <c r="AT119" i="3" l="1"/>
  <c r="AU119" i="3"/>
  <c r="BA119" i="3"/>
  <c r="BB119" i="3" s="1"/>
  <c r="AX119" i="3"/>
  <c r="AY119" i="3" s="1"/>
  <c r="AQ119" i="3"/>
  <c r="AO120" i="3"/>
  <c r="AW119" i="3" l="1"/>
  <c r="AV119" i="3"/>
  <c r="AC120" i="3"/>
  <c r="AD120" i="3" l="1"/>
  <c r="AF120" i="3"/>
  <c r="AG120" i="3" l="1"/>
  <c r="AS120" i="3"/>
  <c r="AR120" i="3"/>
  <c r="AP120" i="3"/>
  <c r="AQ120" i="3" l="1"/>
  <c r="AO121" i="3"/>
  <c r="AT120" i="3"/>
  <c r="AX120" i="3"/>
  <c r="AY120" i="3" s="1"/>
  <c r="AU120" i="3"/>
  <c r="BA120" i="3"/>
  <c r="BB120" i="3" s="1"/>
  <c r="AW120" i="3" l="1"/>
  <c r="AV120" i="3"/>
  <c r="AC121" i="3"/>
  <c r="AF121" i="3" l="1"/>
  <c r="AD121" i="3"/>
  <c r="AG121" i="3" l="1"/>
  <c r="AR121" i="3"/>
  <c r="AS121" i="3"/>
  <c r="AP121" i="3"/>
  <c r="AT121" i="3" l="1"/>
  <c r="AU121" i="3"/>
  <c r="BA121" i="3"/>
  <c r="BB121" i="3" s="1"/>
  <c r="AX121" i="3"/>
  <c r="AY121" i="3" s="1"/>
  <c r="AQ121" i="3"/>
  <c r="AO122" i="3"/>
  <c r="AW121" i="3" l="1"/>
  <c r="AV121" i="3"/>
  <c r="AC122" i="3"/>
  <c r="AD122" i="3" l="1"/>
  <c r="AF122" i="3"/>
  <c r="AG122" i="3" l="1"/>
  <c r="AR122" i="3"/>
  <c r="AS122" i="3"/>
  <c r="AP122" i="3"/>
  <c r="AO123" i="3" l="1"/>
  <c r="AQ122" i="3"/>
  <c r="AT122" i="3"/>
  <c r="AU122" i="3"/>
  <c r="BA122" i="3"/>
  <c r="BB122" i="3" s="1"/>
  <c r="AX122" i="3"/>
  <c r="AY122" i="3" s="1"/>
  <c r="AW122" i="3" l="1"/>
  <c r="AV122" i="3"/>
  <c r="AC123" i="3"/>
  <c r="AD123" i="3" l="1"/>
  <c r="AF123" i="3"/>
  <c r="AG123" i="3" l="1"/>
  <c r="AS123" i="3"/>
  <c r="AR123" i="3"/>
  <c r="AP123" i="3"/>
  <c r="AQ123" i="3" l="1"/>
  <c r="AO124" i="3"/>
  <c r="AT123" i="3"/>
  <c r="AU123" i="3"/>
  <c r="BA123" i="3"/>
  <c r="BB123" i="3" s="1"/>
  <c r="AX123" i="3"/>
  <c r="AY123" i="3" s="1"/>
  <c r="AW123" i="3" l="1"/>
  <c r="AV123" i="3"/>
  <c r="AC124" i="3"/>
  <c r="AD124" i="3" l="1"/>
  <c r="AF124" i="3"/>
  <c r="AG124" i="3" l="1"/>
  <c r="AR124" i="3"/>
  <c r="AS124" i="3"/>
  <c r="AP124" i="3"/>
  <c r="AQ124" i="3" l="1"/>
  <c r="AO125" i="3"/>
  <c r="AT124" i="3"/>
  <c r="AX124" i="3"/>
  <c r="AY124" i="3" s="1"/>
  <c r="AU124" i="3"/>
  <c r="BA124" i="3"/>
  <c r="BB124" i="3" s="1"/>
  <c r="AW124" i="3" l="1"/>
  <c r="AV124" i="3"/>
  <c r="AC125" i="3"/>
  <c r="AF125" i="3" l="1"/>
  <c r="AD125" i="3"/>
  <c r="AG125" i="3" l="1"/>
  <c r="AR125" i="3"/>
  <c r="AS125" i="3"/>
  <c r="AP125" i="3"/>
  <c r="AQ125" i="3" l="1"/>
  <c r="AO126" i="3"/>
  <c r="AT125" i="3"/>
  <c r="BA125" i="3"/>
  <c r="BB125" i="3" s="1"/>
  <c r="AU125" i="3"/>
  <c r="AX125" i="3"/>
  <c r="AY125" i="3" s="1"/>
  <c r="AW125" i="3" l="1"/>
  <c r="AV125" i="3"/>
  <c r="AC126" i="3"/>
  <c r="AF126" i="3" l="1"/>
  <c r="AD126" i="3"/>
  <c r="AG126" i="3" l="1"/>
  <c r="AR126" i="3"/>
  <c r="AS126" i="3"/>
  <c r="AP126" i="3"/>
  <c r="AQ126" i="3" l="1"/>
  <c r="AO127" i="3"/>
  <c r="AT126" i="3"/>
  <c r="BA126" i="3"/>
  <c r="BB126" i="3" s="1"/>
  <c r="AU126" i="3"/>
  <c r="AX126" i="3"/>
  <c r="AY126" i="3" s="1"/>
  <c r="AW126" i="3" l="1"/>
  <c r="AV126" i="3"/>
  <c r="AC127" i="3"/>
  <c r="AD127" i="3" l="1"/>
  <c r="AF127" i="3"/>
  <c r="AG127" i="3" l="1"/>
  <c r="AR127" i="3"/>
  <c r="AS127" i="3"/>
  <c r="AP127" i="3"/>
  <c r="AO128" i="3" s="1"/>
  <c r="AC128" i="3" l="1"/>
  <c r="AQ127" i="3"/>
  <c r="AT127" i="3"/>
  <c r="AX127" i="3"/>
  <c r="AY127" i="3" s="1"/>
  <c r="BA127" i="3"/>
  <c r="BB127" i="3" s="1"/>
  <c r="AU127" i="3"/>
  <c r="AW127" i="3" l="1"/>
  <c r="AV127" i="3"/>
  <c r="AD128" i="3"/>
  <c r="AF128" i="3"/>
  <c r="AG128" i="3" l="1"/>
  <c r="AR128" i="3"/>
  <c r="AS128" i="3"/>
  <c r="AP128" i="3"/>
  <c r="AT128" i="3" l="1"/>
  <c r="BA128" i="3"/>
  <c r="BB128" i="3" s="1"/>
  <c r="AU128" i="3"/>
  <c r="AX128" i="3"/>
  <c r="AY128" i="3" s="1"/>
  <c r="AO129" i="3"/>
  <c r="AQ128" i="3"/>
  <c r="AW128" i="3" l="1"/>
  <c r="AV128" i="3"/>
  <c r="AC129" i="3"/>
  <c r="AF129" i="3" l="1"/>
  <c r="AD129" i="3"/>
  <c r="AG129" i="3" l="1"/>
  <c r="AS129" i="3"/>
  <c r="AR129" i="3"/>
  <c r="AP129" i="3"/>
  <c r="AO130" i="3" l="1"/>
  <c r="AQ129" i="3"/>
  <c r="AT129" i="3"/>
  <c r="BA129" i="3"/>
  <c r="BB129" i="3" s="1"/>
  <c r="AX129" i="3"/>
  <c r="AY129" i="3" s="1"/>
  <c r="AU129" i="3"/>
  <c r="AW129" i="3" l="1"/>
  <c r="AV129" i="3"/>
  <c r="AC130" i="3"/>
  <c r="AD130" i="3" l="1"/>
  <c r="AF130" i="3"/>
  <c r="AG130" i="3" l="1"/>
  <c r="AS130" i="3"/>
  <c r="AR130" i="3"/>
  <c r="AP130" i="3"/>
  <c r="AO131" i="3" l="1"/>
  <c r="AQ130" i="3"/>
  <c r="AT130" i="3"/>
  <c r="AX130" i="3"/>
  <c r="AY130" i="3" s="1"/>
  <c r="AU130" i="3"/>
  <c r="BA130" i="3"/>
  <c r="BB130" i="3" s="1"/>
  <c r="AW130" i="3" l="1"/>
  <c r="AV130" i="3"/>
  <c r="AC131" i="3"/>
  <c r="AF131" i="3" l="1"/>
  <c r="AD131" i="3"/>
  <c r="AG131" i="3" l="1"/>
  <c r="AG134" i="3" s="1"/>
  <c r="AS131" i="3"/>
  <c r="AR131" i="3"/>
  <c r="AR134" i="3" s="1"/>
  <c r="O141" i="3" s="1"/>
  <c r="O142" i="3" s="1"/>
  <c r="AP131" i="3"/>
  <c r="AQ131" i="3" s="1"/>
  <c r="T143" i="3" l="1"/>
  <c r="T144" i="3" s="1"/>
  <c r="T138" i="3"/>
  <c r="T139" i="3" s="1"/>
  <c r="AT131" i="3"/>
  <c r="AT134" i="3" s="1"/>
  <c r="V139" i="3" s="1"/>
  <c r="V144" i="3" s="1"/>
  <c r="BA131" i="3"/>
  <c r="BB131" i="3" s="1"/>
  <c r="BB134" i="3" s="1"/>
  <c r="AX131" i="3"/>
  <c r="AY131" i="3" s="1"/>
  <c r="AY134" i="3" s="1"/>
  <c r="AU131" i="3"/>
  <c r="AW131" i="3" l="1"/>
  <c r="AW134" i="3" s="1"/>
  <c r="AV13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Niel</author>
  </authors>
  <commentList>
    <comment ref="G4" authorId="0" shapeId="0" xr:uid="{00000000-0006-0000-0000-000001000000}">
      <text>
        <r>
          <rPr>
            <b/>
            <sz val="9"/>
            <color indexed="81"/>
            <rFont val="Tahoma"/>
            <family val="2"/>
          </rPr>
          <t>Niel:</t>
        </r>
        <r>
          <rPr>
            <sz val="9"/>
            <color indexed="81"/>
            <rFont val="Tahoma"/>
            <family val="2"/>
          </rPr>
          <t xml:space="preserve">
Extension Apple Irrigation pdf</t>
        </r>
      </text>
    </comment>
    <comment ref="G30" authorId="0" shapeId="0" xr:uid="{00000000-0006-0000-0000-000002000000}">
      <text>
        <r>
          <rPr>
            <b/>
            <sz val="9"/>
            <color indexed="81"/>
            <rFont val="Tahoma"/>
            <family val="2"/>
          </rPr>
          <t>Niel:</t>
        </r>
        <r>
          <rPr>
            <sz val="9"/>
            <color indexed="81"/>
            <rFont val="Tahoma"/>
            <family val="2"/>
          </rPr>
          <t xml:space="preserve">
p. 39 Rich Crop School Irrigation powerpoint</t>
        </r>
      </text>
    </comment>
    <comment ref="G34" authorId="0" shapeId="0" xr:uid="{00000000-0006-0000-0000-000003000000}">
      <text>
        <r>
          <rPr>
            <b/>
            <sz val="9"/>
            <color indexed="81"/>
            <rFont val="Tahoma"/>
            <family val="2"/>
          </rPr>
          <t>Niel:</t>
        </r>
        <r>
          <rPr>
            <sz val="9"/>
            <color indexed="81"/>
            <rFont val="Tahoma"/>
            <family val="2"/>
          </rPr>
          <t xml:space="preserve">
p. 39 Rich Crop School Irrigation powerpoint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Niel</author>
  </authors>
  <commentList>
    <comment ref="N102" authorId="0" shapeId="0" xr:uid="{00000000-0006-0000-0200-000001000000}">
      <text>
        <r>
          <rPr>
            <b/>
            <sz val="9"/>
            <color indexed="81"/>
            <rFont val="Tahoma"/>
            <family val="2"/>
          </rPr>
          <t>Niel:</t>
        </r>
        <r>
          <rPr>
            <sz val="9"/>
            <color indexed="81"/>
            <rFont val="Tahoma"/>
            <family val="2"/>
          </rPr>
          <t xml:space="preserve">
modified - no value exists in 'weather data'</t>
        </r>
      </text>
    </comment>
  </commentList>
</comments>
</file>

<file path=xl/sharedStrings.xml><?xml version="1.0" encoding="utf-8"?>
<sst xmlns="http://schemas.openxmlformats.org/spreadsheetml/2006/main" count="512" uniqueCount="361">
  <si>
    <t>inches</t>
  </si>
  <si>
    <t>Date</t>
  </si>
  <si>
    <t>Area (ft^2) =</t>
  </si>
  <si>
    <t>This data is provided by the Utah Climate Center.  Please cite the Climate Center when using this data.</t>
  </si>
  <si>
    <t>Date Range</t>
  </si>
  <si>
    <t>Date/Time in days</t>
  </si>
  <si>
    <t>Precip Total in in.</t>
  </si>
  <si>
    <t>ETo in in.</t>
  </si>
  <si>
    <t>ETr in in.</t>
  </si>
  <si>
    <t>2015-05-01 23:59:59</t>
  </si>
  <si>
    <t>2015-05-02 23:59:59</t>
  </si>
  <si>
    <t>2015-05-03 23:59:59</t>
  </si>
  <si>
    <t>2015-05-04 23:59:59</t>
  </si>
  <si>
    <t>2015-05-05 23:59:59</t>
  </si>
  <si>
    <t>2015-05-06 23:59:59</t>
  </si>
  <si>
    <t>2015-05-07 23:59:59</t>
  </si>
  <si>
    <t>2015-05-08 23:59:59</t>
  </si>
  <si>
    <t>2015-05-09 23:59:59</t>
  </si>
  <si>
    <t>2015-05-10 23:59:59</t>
  </si>
  <si>
    <t>2015-05-11 23:59:59</t>
  </si>
  <si>
    <t>2015-05-12 23:59:59</t>
  </si>
  <si>
    <t>2015-05-13 23:59:59</t>
  </si>
  <si>
    <t>2015-05-14 23:59:59</t>
  </si>
  <si>
    <t>2015-05-15 23:59:59</t>
  </si>
  <si>
    <t>2015-05-16 23:59:59</t>
  </si>
  <si>
    <t>2015-05-17 23:59:59</t>
  </si>
  <si>
    <t>2015-05-18 23:59:59</t>
  </si>
  <si>
    <t>2015-05-19 23:59:59</t>
  </si>
  <si>
    <t>2015-05-20 23:59:59</t>
  </si>
  <si>
    <t>2015-05-21 23:59:59</t>
  </si>
  <si>
    <t>2015-05-22 23:59:59</t>
  </si>
  <si>
    <t>2015-05-23 23:59:59</t>
  </si>
  <si>
    <t>2015-05-24 23:59:59</t>
  </si>
  <si>
    <t>2015-05-25 23:59:59</t>
  </si>
  <si>
    <t>2015-05-26 23:59:59</t>
  </si>
  <si>
    <t>2015-05-27 23:59:59</t>
  </si>
  <si>
    <t>2015-05-28 23:59:59</t>
  </si>
  <si>
    <t>2015-05-29 23:59:59</t>
  </si>
  <si>
    <t>2015-05-30 23:59:59</t>
  </si>
  <si>
    <t>2015-05-31 23:59:59</t>
  </si>
  <si>
    <t>2015-06-01 23:59:59</t>
  </si>
  <si>
    <t>2015-06-02 23:59:59</t>
  </si>
  <si>
    <t>2015-06-03 23:59:59</t>
  </si>
  <si>
    <t>2015-06-04 23:59:59</t>
  </si>
  <si>
    <t>2015-06-05 23:59:59</t>
  </si>
  <si>
    <t>2015-06-06 23:59:59</t>
  </si>
  <si>
    <t>2015-06-07 23:59:59</t>
  </si>
  <si>
    <t>2015-06-08 23:59:59</t>
  </si>
  <si>
    <t>2015-06-09 23:59:59</t>
  </si>
  <si>
    <t>2015-06-10 23:59:59</t>
  </si>
  <si>
    <t>2015-06-11 23:59:59</t>
  </si>
  <si>
    <t>2015-06-12 23:59:59</t>
  </si>
  <si>
    <t>2015-06-13 23:59:59</t>
  </si>
  <si>
    <t>2015-06-14 23:59:59</t>
  </si>
  <si>
    <t>2015-06-15 23:59:59</t>
  </si>
  <si>
    <t>2015-06-16 23:59:59</t>
  </si>
  <si>
    <t>2015-06-17 23:59:59</t>
  </si>
  <si>
    <t>2015-06-18 23:59:59</t>
  </si>
  <si>
    <t>2015-06-19 23:59:59</t>
  </si>
  <si>
    <t>2015-06-20 23:59:59</t>
  </si>
  <si>
    <t>2015-06-21 23:59:59</t>
  </si>
  <si>
    <t>2015-06-22 23:59:59</t>
  </si>
  <si>
    <t>2015-06-23 23:59:59</t>
  </si>
  <si>
    <t>2015-06-24 23:59:59</t>
  </si>
  <si>
    <t>2015-06-25 23:59:59</t>
  </si>
  <si>
    <t>2015-06-26 23:59:59</t>
  </si>
  <si>
    <t>2015-06-27 23:59:59</t>
  </si>
  <si>
    <t>2015-06-28 23:59:59</t>
  </si>
  <si>
    <t>2015-06-29 23:59:59</t>
  </si>
  <si>
    <t>2015-06-30 23:59:59</t>
  </si>
  <si>
    <t>2015-07-01 23:59:59</t>
  </si>
  <si>
    <t>2015-07-02 23:59:59</t>
  </si>
  <si>
    <t>2015-07-03 23:59:59</t>
  </si>
  <si>
    <t>2015-07-04 23:59:59</t>
  </si>
  <si>
    <t>2015-07-05 23:59:59</t>
  </si>
  <si>
    <t>2015-07-06 23:59:59</t>
  </si>
  <si>
    <t>2015-07-07 23:59:59</t>
  </si>
  <si>
    <t>2015-07-08 23:59:59</t>
  </si>
  <si>
    <t>2015-07-09 23:59:59</t>
  </si>
  <si>
    <t>2015-07-10 23:59:59</t>
  </si>
  <si>
    <t>2015-07-11 23:59:59</t>
  </si>
  <si>
    <t>2015-07-12 23:59:59</t>
  </si>
  <si>
    <t>2015-07-13 23:59:59</t>
  </si>
  <si>
    <t>2015-07-14 23:59:59</t>
  </si>
  <si>
    <t>2015-07-15 23:59:59</t>
  </si>
  <si>
    <t>2015-07-16 23:59:59</t>
  </si>
  <si>
    <t>2015-07-17 23:59:59</t>
  </si>
  <si>
    <t>2015-07-18 23:59:59</t>
  </si>
  <si>
    <t>2015-07-19 23:59:59</t>
  </si>
  <si>
    <t>2015-07-20 23:59:59</t>
  </si>
  <si>
    <t>2015-07-21 23:59:59</t>
  </si>
  <si>
    <t>2015-07-22 23:59:59</t>
  </si>
  <si>
    <t>2015-07-23 23:59:59</t>
  </si>
  <si>
    <t>2015-07-24 23:59:59</t>
  </si>
  <si>
    <t>2015-07-25 23:59:59</t>
  </si>
  <si>
    <t>2015-07-26 23:59:59</t>
  </si>
  <si>
    <t>2015-07-27 23:59:59</t>
  </si>
  <si>
    <t>2015-07-28 23:59:59</t>
  </si>
  <si>
    <t>2015-07-29 23:59:59</t>
  </si>
  <si>
    <t>2015-07-30 23:59:59</t>
  </si>
  <si>
    <t>2015-08-01 23:59:59</t>
  </si>
  <si>
    <t>2015-08-02 23:59:59</t>
  </si>
  <si>
    <t>2015-08-03 23:59:59</t>
  </si>
  <si>
    <t>2015-08-04 23:59:59</t>
  </si>
  <si>
    <t>2015-08-05 23:59:59</t>
  </si>
  <si>
    <t>2015-08-06 23:59:59</t>
  </si>
  <si>
    <t>2015-08-07 23:59:59</t>
  </si>
  <si>
    <t>2015-08-08 23:59:59</t>
  </si>
  <si>
    <t>2015-08-09 23:59:59</t>
  </si>
  <si>
    <t>2015-08-10 23:59:59</t>
  </si>
  <si>
    <t>2015-08-11 23:59:59</t>
  </si>
  <si>
    <t>2015-08-12 23:59:59</t>
  </si>
  <si>
    <t>2015-08-13 23:59:59</t>
  </si>
  <si>
    <t>2015-08-14 23:59:59</t>
  </si>
  <si>
    <t>2015-08-15 23:59:59</t>
  </si>
  <si>
    <t>2015-08-16 23:59:59</t>
  </si>
  <si>
    <t>2015-08-17 23:59:59</t>
  </si>
  <si>
    <t>2015-08-18 23:59:59</t>
  </si>
  <si>
    <t>2015-08-19 23:59:59</t>
  </si>
  <si>
    <t>2015-08-20 23:59:59</t>
  </si>
  <si>
    <t>2015-08-21 23:59:59</t>
  </si>
  <si>
    <t>2015-08-22 23:59:59</t>
  </si>
  <si>
    <t>2015-08-23 23:59:59</t>
  </si>
  <si>
    <t>2015-08-24 23:59:59</t>
  </si>
  <si>
    <t>2015-08-25 23:59:59</t>
  </si>
  <si>
    <t>2015-08-26 23:59:59</t>
  </si>
  <si>
    <t>2015-08-27 23:59:59</t>
  </si>
  <si>
    <t>2015-08-28 23:59:59</t>
  </si>
  <si>
    <t>2015-08-29 23:59:59</t>
  </si>
  <si>
    <t>2015-08-30 23:59:59</t>
  </si>
  <si>
    <t>2015-08-31 23:59:59</t>
  </si>
  <si>
    <t>2015-09-01 23:59:59</t>
  </si>
  <si>
    <t>2015-09-02 23:59:59</t>
  </si>
  <si>
    <t>2015-09-03 23:59:59</t>
  </si>
  <si>
    <t>2015-09-04 23:59:59</t>
  </si>
  <si>
    <t>2015-09-05 23:59:59</t>
  </si>
  <si>
    <t>2015-09-06 23:59:59</t>
  </si>
  <si>
    <t>2015-09-07 23:59:59</t>
  </si>
  <si>
    <t>2015-09-08 23:59:59</t>
  </si>
  <si>
    <t>2015-09-09 23:59:59</t>
  </si>
  <si>
    <t>2015-09-10 23:59:59</t>
  </si>
  <si>
    <t>2015-09-11 23:59:59</t>
  </si>
  <si>
    <t>2015-09-12 23:59:59</t>
  </si>
  <si>
    <t>2015-09-13 23:59:59</t>
  </si>
  <si>
    <t>2015-09-14 23:59:59</t>
  </si>
  <si>
    <t>2015-09-15 23:59:59</t>
  </si>
  <si>
    <t>2015-09-16 23:59:59</t>
  </si>
  <si>
    <t>2015-09-17 23:59:59</t>
  </si>
  <si>
    <t>2015-09-18 23:59:59</t>
  </si>
  <si>
    <t>2015-09-19 23:59:59</t>
  </si>
  <si>
    <t>2015-09-20 23:59:59</t>
  </si>
  <si>
    <t>2015-09-21 23:59:59</t>
  </si>
  <si>
    <t>2015-09-22 23:59:59</t>
  </si>
  <si>
    <t>2015-09-23 23:59:59</t>
  </si>
  <si>
    <t>2015-09-24 23:59:59</t>
  </si>
  <si>
    <t>2015-09-25 23:59:59</t>
  </si>
  <si>
    <t>2015-09-26 23:59:59</t>
  </si>
  <si>
    <t>2015-09-27 23:59:59</t>
  </si>
  <si>
    <t>2015-09-28 23:59:59</t>
  </si>
  <si>
    <t>2015-09-29 23:59:59</t>
  </si>
  <si>
    <t>2015-09-30 23:59:59</t>
  </si>
  <si>
    <t>Adjusted Daily Meter Data</t>
  </si>
  <si>
    <t>Precipitation</t>
  </si>
  <si>
    <t>Total Af</t>
  </si>
  <si>
    <t>Total inches</t>
  </si>
  <si>
    <t>Cum ft3</t>
  </si>
  <si>
    <t>Date in days</t>
  </si>
  <si>
    <t>Effective Precip (in)</t>
  </si>
  <si>
    <t>Precip (in)</t>
  </si>
  <si>
    <t>Ref ETr</t>
  </si>
  <si>
    <t>Harvest Schedule</t>
  </si>
  <si>
    <t>Alfalfa</t>
  </si>
  <si>
    <t>ET_crop Alfalfa</t>
  </si>
  <si>
    <t>Total Precip (in)</t>
  </si>
  <si>
    <t>ETr (in)</t>
  </si>
  <si>
    <t>Total ET (in)</t>
  </si>
  <si>
    <t>Crop Type =</t>
  </si>
  <si>
    <t xml:space="preserve">Soil AW (in/ft) = </t>
  </si>
  <si>
    <t>Starting RZ depth (ft) =</t>
  </si>
  <si>
    <t>Starting RZ AW (in) =</t>
  </si>
  <si>
    <t>Ending RZ depth (ft) =</t>
  </si>
  <si>
    <t>ft3</t>
  </si>
  <si>
    <t>ETa/ETm</t>
  </si>
  <si>
    <t>Deep Perc (in)</t>
  </si>
  <si>
    <t>Total Deep Perc (in)</t>
  </si>
  <si>
    <t>Deep Perc from Irr (in)</t>
  </si>
  <si>
    <t>Total Deep Perc from Irr (in)</t>
  </si>
  <si>
    <t>Deep Perc from Precip (in)</t>
  </si>
  <si>
    <t>Total Deep Perc from Precip (in)</t>
  </si>
  <si>
    <t>Total Irr +  Precip (in)</t>
  </si>
  <si>
    <t xml:space="preserve"> "Effective" Irr + Precip (i.e. - DP)</t>
  </si>
  <si>
    <t>Total "Effective" Irr + Precip (i.e. - DP)</t>
  </si>
  <si>
    <t>Soil Moisture and Deep Percolation</t>
  </si>
  <si>
    <t>Metrics</t>
  </si>
  <si>
    <t>Yield Reduction</t>
  </si>
  <si>
    <t>eqn 2.4 p.18 Merkley</t>
  </si>
  <si>
    <t>0.7-1.1</t>
  </si>
  <si>
    <t xml:space="preserve">Ky ave = </t>
  </si>
  <si>
    <t>Ky =</t>
  </si>
  <si>
    <t>ETa/ETm =</t>
  </si>
  <si>
    <t xml:space="preserve">Ya/Ym = </t>
  </si>
  <si>
    <t>Change in Soil Moisture</t>
  </si>
  <si>
    <t>Final AW (in) =</t>
  </si>
  <si>
    <r>
      <rPr>
        <b/>
        <sz val="11"/>
        <color theme="1"/>
        <rFont val="Calibri"/>
        <family val="2"/>
      </rPr>
      <t>∆</t>
    </r>
    <r>
      <rPr>
        <b/>
        <sz val="11"/>
        <color theme="1"/>
        <rFont val="Calibri"/>
        <family val="2"/>
        <scheme val="minor"/>
      </rPr>
      <t>SM (in) =</t>
    </r>
  </si>
  <si>
    <t>Water Balance</t>
  </si>
  <si>
    <t>∆SM = P + I - ET - DP</t>
  </si>
  <si>
    <t>SUMIF($B$10:$B$590,N10,$G$10:$G$590)</t>
  </si>
  <si>
    <t>Total Available Water TAW (in)</t>
  </si>
  <si>
    <t>Readily Available Water (in)</t>
  </si>
  <si>
    <t>Potential ET (in)</t>
  </si>
  <si>
    <t>Ks = f(Dr)</t>
  </si>
  <si>
    <t>Root Zone Depletion Dr_start (in)</t>
  </si>
  <si>
    <t>Root Zone Depletion Dr_end (in)</t>
  </si>
  <si>
    <t>Available Water (in)</t>
  </si>
  <si>
    <t>ET actual (in)</t>
  </si>
  <si>
    <t>TAW-RAW (in)</t>
  </si>
  <si>
    <t>change "weather data" worksheet values with proper values</t>
  </si>
  <si>
    <t>insert proper metered data into leftmost columns</t>
  </si>
  <si>
    <t>save as Name_Plots.xls</t>
  </si>
  <si>
    <t>Link first blue column with proper "ft3 per irrigation" value</t>
  </si>
  <si>
    <t>delete days in excess of growing season</t>
  </si>
  <si>
    <t>Adjust Harvest Schedule</t>
  </si>
  <si>
    <t>insert proper soil characteristics in top left</t>
  </si>
  <si>
    <t>Corrected ft3 for  irrigation schedule</t>
  </si>
  <si>
    <t xml:space="preserve"> schedule</t>
  </si>
  <si>
    <t>change name in top left</t>
  </si>
  <si>
    <t>http://peltiertech.com/make-a-copied-chart-link-to-new-data/</t>
  </si>
  <si>
    <t>dealing with copying charts</t>
  </si>
  <si>
    <t>Name</t>
  </si>
  <si>
    <t>Crop Type</t>
  </si>
  <si>
    <t>Rooting Depth (m) T. 7.2 Merkley</t>
  </si>
  <si>
    <t>Chosen Rooting Depth (m)</t>
  </si>
  <si>
    <t xml:space="preserve">Average Rooting Depth (ft) </t>
  </si>
  <si>
    <t xml:space="preserve">Average Rooting Depth (in) </t>
  </si>
  <si>
    <t>Soil Type (Web Soil Survey)</t>
  </si>
  <si>
    <t>Percentage of soil type</t>
  </si>
  <si>
    <t>Weighted Ave AWC (cm/cm)</t>
  </si>
  <si>
    <t>Weighted Ave AWC (cm/cm) WSS</t>
  </si>
  <si>
    <t>Weighted Ave AWC (in/ft) WSS</t>
  </si>
  <si>
    <t>Available Water Depletion (%) T. 7.2 Merkley</t>
  </si>
  <si>
    <t>Description from WSS</t>
  </si>
  <si>
    <t>1.2-1.8</t>
  </si>
  <si>
    <t>Provo Loam</t>
  </si>
  <si>
    <t>30-50</t>
  </si>
  <si>
    <t>Available water capacity (AWC) refers to the quantity of water that the soil is capable of storing for use by plants. The capacity for water storage is given in centimeters of water per centimeter of soil for each soil layer. The capacity varies, depending on soil properties that affect retention of water. The most important properties are the content of organic matter, soil texture, bulk density, and soil structure, with corrections for salinity and rock fragments. Available water capacity is an important factor in the choice of plants or crops to be grown and in the design and management of irrigation systems. It is not an estimate of the quantity of water actually available to plants at any given time.</t>
  </si>
  <si>
    <t>Apple</t>
  </si>
  <si>
    <t>McMurdie Silt Loam</t>
  </si>
  <si>
    <t>Vegetable crops</t>
  </si>
  <si>
    <t>0.6-1.2</t>
  </si>
  <si>
    <t>Ricks Gravelly Loam</t>
  </si>
  <si>
    <t>25-50</t>
  </si>
  <si>
    <t>Greenson Loam</t>
  </si>
  <si>
    <t>Steed Gravelly Loam</t>
  </si>
  <si>
    <t>Provo Gravelly Loam</t>
  </si>
  <si>
    <t>Cardon Silty Clay</t>
  </si>
  <si>
    <t>Pasture</t>
  </si>
  <si>
    <t>0.75-1.2 (0.9-1.2)</t>
  </si>
  <si>
    <t>Millville Silt Loam</t>
  </si>
  <si>
    <t>40-60 (50-70)</t>
  </si>
  <si>
    <t>0.75-1.2 (0.6-1.2)</t>
  </si>
  <si>
    <t>40-60 (25-50)</t>
  </si>
  <si>
    <t>Timpanogos Silt Loam</t>
  </si>
  <si>
    <t>Parleys Silt Loam</t>
  </si>
  <si>
    <t>Kidman Fine Sandy Loam</t>
  </si>
  <si>
    <t>Quinney Silt Loam</t>
  </si>
  <si>
    <t>Hendricks Silt Loam</t>
  </si>
  <si>
    <t>Depletion fraction (fao56)</t>
  </si>
  <si>
    <t>Fao56 p.165 Max Rooting Depth (m)</t>
  </si>
  <si>
    <t>1-2</t>
  </si>
  <si>
    <t>Web Soil Survey</t>
  </si>
  <si>
    <t>Rooting Characteristics</t>
  </si>
  <si>
    <t>~0.5</t>
  </si>
  <si>
    <t>Depletion fraction (%) =</t>
  </si>
  <si>
    <t>Area (acres) =</t>
  </si>
  <si>
    <t>Adjust axis on graphs</t>
  </si>
  <si>
    <t>Starting RZ TAW (in) =</t>
  </si>
  <si>
    <t>Check that water balance values match</t>
  </si>
  <si>
    <t>insert proper area</t>
  </si>
  <si>
    <t>Station</t>
  </si>
  <si>
    <t>Give proper crop coefficients (grass or alfalfa)</t>
  </si>
  <si>
    <t>Kc*Ks</t>
  </si>
  <si>
    <t>check max and min date on graphs</t>
  </si>
  <si>
    <t>Check that cumulative depths match</t>
  </si>
  <si>
    <t>check sum of new volume column</t>
  </si>
  <si>
    <t>match?</t>
  </si>
  <si>
    <t>Kcm T.G3</t>
  </si>
  <si>
    <t>% days</t>
  </si>
  <si>
    <t>0.5-1.5</t>
  </si>
  <si>
    <t>Count days</t>
  </si>
  <si>
    <t>x</t>
  </si>
  <si>
    <t>update % days with proper count</t>
  </si>
  <si>
    <t>check Kc values match</t>
  </si>
  <si>
    <t>Pasture Kc</t>
  </si>
  <si>
    <t>Adjust ETr vs ETo (Utah Consumptive Use doc generally uses ETr</t>
  </si>
  <si>
    <t>Kc values_alfalfa (Utah Consumptive Use doc - Alfalfa)</t>
  </si>
  <si>
    <t xml:space="preserve">Apple </t>
  </si>
  <si>
    <t>Corn</t>
  </si>
  <si>
    <t>Wheat</t>
  </si>
  <si>
    <t>1.0-1.7</t>
  </si>
  <si>
    <t>1.0-1.5</t>
  </si>
  <si>
    <t>Weighted Ave Depletion %</t>
  </si>
  <si>
    <t>CropType Area</t>
  </si>
  <si>
    <t>Turfgrass</t>
  </si>
  <si>
    <t>Turfgrass (North)</t>
  </si>
  <si>
    <t>Kcm T.G2</t>
  </si>
  <si>
    <t>utah consumptive use</t>
  </si>
  <si>
    <t>0.5-1.0</t>
  </si>
  <si>
    <t xml:space="preserve"> </t>
  </si>
  <si>
    <t>Weighted Ave Rooting depth (ft)</t>
  </si>
  <si>
    <t>Kcinitial</t>
  </si>
  <si>
    <t>Kcmid</t>
  </si>
  <si>
    <t>Kcend</t>
  </si>
  <si>
    <t xml:space="preserve">fao56 (Utah consumptive doc only has field corn. </t>
  </si>
  <si>
    <t>Apples</t>
  </si>
  <si>
    <t>Kc values embedded in spreadsheet</t>
  </si>
  <si>
    <t>Quinoa (use wheat characteristics)</t>
  </si>
  <si>
    <t>British Columbia</t>
  </si>
  <si>
    <t>Sweet Peppers</t>
  </si>
  <si>
    <t>Tomatoes</t>
  </si>
  <si>
    <t>Watermelon</t>
  </si>
  <si>
    <t>Squash</t>
  </si>
  <si>
    <r>
      <t>Kc_</t>
    </r>
    <r>
      <rPr>
        <sz val="11"/>
        <color rgb="FFFF0000"/>
        <rFont val="Calibri"/>
        <family val="2"/>
        <scheme val="minor"/>
      </rPr>
      <t>(grass)</t>
    </r>
  </si>
  <si>
    <t>Garden Vegetables</t>
  </si>
  <si>
    <t>Depletion %</t>
  </si>
  <si>
    <t>Vegetables</t>
  </si>
  <si>
    <t>step 1 -</t>
  </si>
  <si>
    <t>delete unnecessary rows</t>
  </si>
  <si>
    <t>step 2 -</t>
  </si>
  <si>
    <t>add column for "Date in days"</t>
  </si>
  <si>
    <t>step 3 -</t>
  </si>
  <si>
    <t>convert "Precip, Eto, and Etr" cells to number</t>
  </si>
  <si>
    <t>Change Count days</t>
  </si>
  <si>
    <t>Kcmin</t>
  </si>
  <si>
    <t>IF((K81-$K$60)*($K$62-$K$61)/($K$59-$K$60)+$K$61&lt;2,(K81-$K$60)*($K$62-$K$61)/($K$59-$K$60)+$K$61,2)</t>
  </si>
  <si>
    <t>RZ multipliler</t>
  </si>
  <si>
    <t>RZ depth (in)</t>
  </si>
  <si>
    <t>RZ correctio n factor</t>
  </si>
  <si>
    <t>RZ min (ft) =</t>
  </si>
  <si>
    <t xml:space="preserve">RZ max (ft) = </t>
  </si>
  <si>
    <t>RZ depth (ft)</t>
  </si>
  <si>
    <t>correct for starting root depth</t>
  </si>
  <si>
    <t>Garden Kc</t>
  </si>
  <si>
    <t>change Ky yield response factor</t>
  </si>
  <si>
    <t>For changing RZ</t>
  </si>
  <si>
    <t>TAW_end (in) =</t>
  </si>
  <si>
    <t>AW_end (in) =</t>
  </si>
  <si>
    <t xml:space="preserve">Adjust root zone depletion </t>
  </si>
  <si>
    <t>make sure rooting depth does not continually grow</t>
  </si>
  <si>
    <t>Ky</t>
  </si>
  <si>
    <t>average</t>
  </si>
  <si>
    <t>date</t>
  </si>
  <si>
    <t>Area (ft2) =</t>
  </si>
  <si>
    <t>Evans</t>
  </si>
  <si>
    <t xml:space="preserve">Volume Applied (ft3) </t>
  </si>
  <si>
    <t>Cumulative volume (ft3) =</t>
  </si>
  <si>
    <t>Cumulative depth (inch) =</t>
  </si>
  <si>
    <t xml:space="preserve">sum = </t>
  </si>
  <si>
    <t>Total Available Water TAW (mm)</t>
  </si>
  <si>
    <t>Deep Perc from Irr (mm)</t>
  </si>
  <si>
    <t>mm</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</si>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</sst>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m/d/yy;@"/>
    <numFmt numFmtId="166" formatCode="0.000"/>
    <numFmt numFmtId="167" formatCode="0.0"/>
  </numFmts>
  <fonts count="18" x14ac:knownFonts="1">
    <font>
      <sz val="11"/>
      <color theme="1"/>
      <name val="Calibri"/>
      <family val="2"/>
      <scheme val="minor"/>
    </font>
    <font>
      <sz val="11"/>
      <color theme="1"/>
      <name val="Calibri"/>
      <family val="2"/>
      <scheme val="minor"/>
    </font>
    <font>
      <sz val="11"/>
      <color rgb="FF006100"/>
      <name val="Calibri"/>
      <family val="2"/>
      <scheme val="minor"/>
    </font>
    <font>
      <b/>
      <sz val="9"/>
      <color indexed="81"/>
      <name val="Tahoma"/>
      <family val="2"/>
    </font>
    <font>
      <sz val="9"/>
      <color indexed="81"/>
      <name val="Tahoma"/>
      <family val="2"/>
    </font>
    <font>
      <b/>
      <sz val="11"/>
      <color theme="1"/>
      <name val="Calibri"/>
      <family val="2"/>
      <scheme val="minor"/>
    </font>
    <font>
      <sz val="11"/>
      <color rgb="FF9C6500"/>
      <name val="Calibri"/>
      <family val="2"/>
      <scheme val="minor"/>
    </font>
    <font>
      <b/>
      <sz val="10"/>
      <color indexed="8"/>
      <name val="Arial"/>
      <family val="2"/>
    </font>
    <font>
      <b/>
      <sz val="8"/>
      <color indexed="8"/>
      <name val="Arial"/>
      <family val="2"/>
    </font>
    <font>
      <sz val="10"/>
      <color indexed="8"/>
      <name val="Arial"/>
      <family val="2"/>
    </font>
    <font>
      <sz val="11"/>
      <name val="Calibri"/>
      <family val="2"/>
      <scheme val="minor"/>
    </font>
    <font>
      <b/>
      <sz val="14"/>
      <color theme="1"/>
      <name val="Calibri"/>
      <family val="2"/>
      <scheme val="minor"/>
    </font>
    <font>
      <b/>
      <u/>
      <sz val="11"/>
      <color theme="1"/>
      <name val="Calibri"/>
      <family val="2"/>
      <scheme val="minor"/>
    </font>
    <font>
      <b/>
      <sz val="11"/>
      <color theme="1"/>
      <name val="Calibri"/>
      <family val="2"/>
    </font>
    <font>
      <sz val="10"/>
      <color rgb="FF000000"/>
      <name val="Verdana"/>
      <family val="2"/>
    </font>
    <font>
      <sz val="11"/>
      <color rgb="FF000000"/>
      <name val="Calibri"/>
      <family val="2"/>
      <scheme val="minor"/>
    </font>
    <font>
      <sz val="11"/>
      <color rgb="FF9C0006"/>
      <name val="Calibri"/>
      <family val="2"/>
      <scheme val="minor"/>
    </font>
    <font>
      <sz val="11"/>
      <color rgb="FFFF0000"/>
      <name val="Calibri"/>
      <family val="2"/>
      <scheme val="minor"/>
    </font>
  </fonts>
  <fills count="14">
    <fill>
      <patternFill patternType="none"/>
    </fill>
    <fill>
      <patternFill patternType="gray125"/>
    </fill>
    <fill>
      <patternFill patternType="solid">
        <fgColor rgb="FFC6EFCE"/>
      </patternFill>
    </fill>
    <fill>
      <patternFill patternType="solid">
        <fgColor rgb="FFFFCC99"/>
      </patternFill>
    </fill>
    <fill>
      <patternFill patternType="solid">
        <fgColor rgb="FFFFFFCC"/>
      </patternFill>
    </fill>
    <fill>
      <patternFill patternType="solid">
        <fgColor rgb="FFFFEB9C"/>
      </patternFill>
    </fill>
    <fill>
      <patternFill patternType="solid">
        <fgColor theme="7" tint="0.39997558519241921"/>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7" tint="0.59999389629810485"/>
        <bgColor indexed="65"/>
      </patternFill>
    </fill>
    <fill>
      <patternFill patternType="solid">
        <fgColor theme="4" tint="0.59999389629810485"/>
        <bgColor indexed="65"/>
      </patternFill>
    </fill>
    <fill>
      <patternFill patternType="solid">
        <fgColor theme="6"/>
      </patternFill>
    </fill>
    <fill>
      <patternFill patternType="solid">
        <fgColor theme="6" tint="0.39997558519241921"/>
        <bgColor indexed="65"/>
      </patternFill>
    </fill>
    <fill>
      <patternFill patternType="solid">
        <fgColor rgb="FFFFC7CE"/>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style="thin">
        <color rgb="FF7F7F7F"/>
      </top>
      <bottom style="medium">
        <color indexed="64"/>
      </bottom>
      <diagonal/>
    </border>
    <border>
      <left style="thin">
        <color rgb="FF7F7F7F"/>
      </left>
      <right style="thin">
        <color rgb="FF7F7F7F"/>
      </right>
      <top/>
      <bottom style="medium">
        <color indexed="64"/>
      </bottom>
      <diagonal/>
    </border>
    <border>
      <left style="thin">
        <color rgb="FF7F7F7F"/>
      </left>
      <right style="thin">
        <color rgb="FF7F7F7F"/>
      </right>
      <top style="thin">
        <color rgb="FF7F7F7F"/>
      </top>
      <bottom/>
      <diagonal/>
    </border>
    <border>
      <left/>
      <right/>
      <top style="medium">
        <color indexed="64"/>
      </top>
      <bottom/>
      <diagonal/>
    </border>
    <border>
      <left style="thin">
        <color indexed="64"/>
      </left>
      <right style="thin">
        <color indexed="64"/>
      </right>
      <top style="thin">
        <color indexed="64"/>
      </top>
      <bottom/>
      <diagonal/>
    </border>
    <border>
      <left/>
      <right style="thin">
        <color rgb="FF7F7F7F"/>
      </right>
      <top style="thin">
        <color rgb="FF7F7F7F"/>
      </top>
      <bottom/>
      <diagonal/>
    </border>
    <border>
      <left style="thin">
        <color indexed="64"/>
      </left>
      <right/>
      <top/>
      <bottom/>
      <diagonal/>
    </border>
    <border>
      <left/>
      <right style="thin">
        <color indexed="64"/>
      </right>
      <top/>
      <bottom/>
      <diagonal/>
    </border>
  </borders>
  <cellStyleXfs count="13">
    <xf numFmtId="0" fontId="0" fillId="0" borderId="0"/>
    <xf numFmtId="0" fontId="2" fillId="2" borderId="0" applyNumberFormat="0" applyBorder="0" applyAlignment="0" applyProtection="0"/>
    <xf numFmtId="0" fontId="1" fillId="3" borderId="1" applyNumberFormat="0" applyAlignment="0" applyProtection="0"/>
    <xf numFmtId="0" fontId="10" fillId="4" borderId="2" applyNumberFormat="0" applyAlignment="0" applyProtection="0"/>
    <xf numFmtId="0" fontId="6"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9" fontId="1" fillId="0" borderId="0" applyFont="0" applyFill="0" applyBorder="0" applyAlignment="0" applyProtection="0"/>
    <xf numFmtId="0" fontId="1" fillId="9" borderId="0" applyNumberFormat="0" applyBorder="0" applyAlignment="0" applyProtection="0"/>
    <xf numFmtId="0" fontId="1"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6" fillId="13" borderId="0" applyNumberFormat="0" applyBorder="0" applyAlignment="0" applyProtection="0"/>
  </cellStyleXfs>
  <cellXfs count="175">
    <xf numFmtId="0" fontId="0" fillId="0" borderId="0" xfId="0"/>
    <xf numFmtId="2" fontId="0" fillId="0" borderId="0" xfId="0" applyNumberFormat="1"/>
    <xf numFmtId="0" fontId="0" fillId="0" borderId="0" xfId="0" applyAlignment="1">
      <alignment wrapText="1"/>
    </xf>
    <xf numFmtId="0" fontId="0" fillId="0" borderId="0" xfId="0" applyAlignment="1">
      <alignment horizontal="right"/>
    </xf>
    <xf numFmtId="0" fontId="1" fillId="3" borderId="1" xfId="2"/>
    <xf numFmtId="0" fontId="2" fillId="2" borderId="0" xfId="1"/>
    <xf numFmtId="0" fontId="1" fillId="3" borderId="3" xfId="2" applyBorder="1"/>
    <xf numFmtId="0" fontId="0" fillId="0" borderId="0" xfId="0" applyNumberFormat="1"/>
    <xf numFmtId="164" fontId="0" fillId="0" borderId="0" xfId="0" applyNumberFormat="1"/>
    <xf numFmtId="0" fontId="0" fillId="0" borderId="5" xfId="0" applyBorder="1"/>
    <xf numFmtId="0" fontId="0" fillId="0" borderId="0" xfId="0" applyBorder="1"/>
    <xf numFmtId="0" fontId="0" fillId="0" borderId="0" xfId="0" applyBorder="1" applyAlignment="1">
      <alignment horizontal="right"/>
    </xf>
    <xf numFmtId="0" fontId="7" fillId="0" borderId="0" xfId="0" applyFont="1"/>
    <xf numFmtId="0" fontId="8" fillId="8" borderId="10" xfId="0" applyFont="1" applyFill="1" applyBorder="1" applyAlignment="1">
      <alignment horizontal="center" vertical="center" wrapText="1"/>
    </xf>
    <xf numFmtId="0" fontId="9" fillId="0" borderId="3" xfId="0" applyFont="1" applyBorder="1"/>
    <xf numFmtId="0" fontId="0" fillId="0" borderId="4" xfId="0" applyBorder="1"/>
    <xf numFmtId="0" fontId="0" fillId="0" borderId="0" xfId="0" applyFont="1" applyAlignment="1">
      <alignment horizontal="right"/>
    </xf>
    <xf numFmtId="0" fontId="0" fillId="0" borderId="0" xfId="0" applyFont="1" applyAlignment="1">
      <alignment horizontal="left"/>
    </xf>
    <xf numFmtId="14" fontId="0" fillId="0" borderId="0" xfId="0" applyNumberFormat="1"/>
    <xf numFmtId="14" fontId="9" fillId="0" borderId="3" xfId="0" applyNumberFormat="1" applyFont="1" applyBorder="1"/>
    <xf numFmtId="0" fontId="9" fillId="0" borderId="3" xfId="0" applyNumberFormat="1" applyFont="1" applyBorder="1" applyAlignment="1">
      <alignment horizontal="right"/>
    </xf>
    <xf numFmtId="0" fontId="1" fillId="9" borderId="3" xfId="8" applyBorder="1"/>
    <xf numFmtId="0" fontId="0" fillId="9" borderId="3" xfId="8" applyFont="1" applyBorder="1" applyAlignment="1">
      <alignment wrapText="1"/>
    </xf>
    <xf numFmtId="0" fontId="0" fillId="0" borderId="0" xfId="0" applyNumberFormat="1" applyFont="1"/>
    <xf numFmtId="9" fontId="0" fillId="0" borderId="0" xfId="7" applyFont="1"/>
    <xf numFmtId="2" fontId="0" fillId="0" borderId="0" xfId="7" applyNumberFormat="1" applyFont="1"/>
    <xf numFmtId="0" fontId="0" fillId="4" borderId="3" xfId="3" applyFont="1" applyBorder="1" applyAlignment="1">
      <alignment wrapText="1"/>
    </xf>
    <xf numFmtId="2" fontId="10" fillId="4" borderId="3" xfId="3" applyNumberFormat="1" applyBorder="1"/>
    <xf numFmtId="2" fontId="10" fillId="4" borderId="11" xfId="3" applyNumberFormat="1" applyBorder="1"/>
    <xf numFmtId="0" fontId="0" fillId="4" borderId="13" xfId="3" applyFont="1" applyBorder="1" applyAlignment="1">
      <alignment wrapText="1"/>
    </xf>
    <xf numFmtId="0" fontId="0" fillId="4" borderId="14" xfId="3" applyFont="1" applyBorder="1" applyAlignment="1">
      <alignment wrapText="1"/>
    </xf>
    <xf numFmtId="0" fontId="10" fillId="4" borderId="3" xfId="3" applyFont="1" applyBorder="1" applyAlignment="1">
      <alignment wrapText="1"/>
    </xf>
    <xf numFmtId="0" fontId="10" fillId="4" borderId="3" xfId="3" applyFont="1" applyBorder="1"/>
    <xf numFmtId="2" fontId="0" fillId="4" borderId="3" xfId="3" applyNumberFormat="1" applyFont="1" applyBorder="1"/>
    <xf numFmtId="0" fontId="10" fillId="5" borderId="3" xfId="4" applyFont="1" applyBorder="1" applyAlignment="1">
      <alignment wrapText="1"/>
    </xf>
    <xf numFmtId="0" fontId="10" fillId="2" borderId="3" xfId="1" applyFont="1" applyBorder="1" applyAlignment="1">
      <alignment wrapText="1"/>
    </xf>
    <xf numFmtId="0" fontId="10" fillId="2" borderId="3" xfId="1" applyNumberFormat="1" applyFont="1" applyBorder="1" applyAlignment="1">
      <alignment wrapText="1"/>
    </xf>
    <xf numFmtId="0" fontId="10" fillId="5" borderId="3" xfId="4" applyFont="1" applyBorder="1"/>
    <xf numFmtId="0" fontId="10" fillId="2" borderId="3" xfId="1" applyFont="1" applyBorder="1"/>
    <xf numFmtId="0" fontId="10" fillId="2" borderId="3" xfId="1" applyNumberFormat="1" applyFont="1" applyBorder="1"/>
    <xf numFmtId="2" fontId="10" fillId="4" borderId="13" xfId="3" applyNumberFormat="1" applyBorder="1"/>
    <xf numFmtId="0" fontId="10" fillId="4" borderId="13" xfId="3" applyBorder="1"/>
    <xf numFmtId="2" fontId="10" fillId="4" borderId="14" xfId="3" applyNumberFormat="1" applyBorder="1"/>
    <xf numFmtId="0" fontId="5" fillId="0" borderId="0" xfId="0" applyFont="1"/>
    <xf numFmtId="0" fontId="12" fillId="0" borderId="0" xfId="0" applyFont="1"/>
    <xf numFmtId="0" fontId="5" fillId="0" borderId="15" xfId="0" applyFont="1" applyBorder="1"/>
    <xf numFmtId="0" fontId="5" fillId="0" borderId="16" xfId="0" applyFont="1" applyBorder="1"/>
    <xf numFmtId="2" fontId="5" fillId="0" borderId="17" xfId="0" applyNumberFormat="1" applyFont="1" applyBorder="1"/>
    <xf numFmtId="9" fontId="5" fillId="0" borderId="17" xfId="7" applyFont="1" applyBorder="1"/>
    <xf numFmtId="2" fontId="5" fillId="0" borderId="0" xfId="0" applyNumberFormat="1" applyFont="1"/>
    <xf numFmtId="0" fontId="0" fillId="4" borderId="18" xfId="3" applyFont="1" applyBorder="1" applyAlignment="1">
      <alignment wrapText="1"/>
    </xf>
    <xf numFmtId="2" fontId="10" fillId="4" borderId="19" xfId="3" applyNumberFormat="1" applyBorder="1"/>
    <xf numFmtId="2" fontId="10" fillId="4" borderId="18" xfId="3" applyNumberFormat="1" applyBorder="1"/>
    <xf numFmtId="0" fontId="0" fillId="4" borderId="20" xfId="3" applyFont="1" applyBorder="1" applyAlignment="1">
      <alignment wrapText="1"/>
    </xf>
    <xf numFmtId="2" fontId="10" fillId="4" borderId="12" xfId="3" applyNumberFormat="1" applyBorder="1"/>
    <xf numFmtId="2" fontId="10" fillId="4" borderId="20" xfId="3" applyNumberFormat="1" applyBorder="1"/>
    <xf numFmtId="0" fontId="10" fillId="4" borderId="3" xfId="3" applyBorder="1" applyAlignment="1">
      <alignment wrapText="1"/>
    </xf>
    <xf numFmtId="0" fontId="5" fillId="0" borderId="0" xfId="0" applyFont="1" applyBorder="1"/>
    <xf numFmtId="1" fontId="0" fillId="0" borderId="0" xfId="0" applyNumberFormat="1"/>
    <xf numFmtId="0" fontId="1" fillId="10" borderId="3" xfId="9" applyBorder="1"/>
    <xf numFmtId="0" fontId="1" fillId="10" borderId="3" xfId="9" applyBorder="1" applyAlignment="1">
      <alignment wrapText="1"/>
    </xf>
    <xf numFmtId="0" fontId="10" fillId="5" borderId="12" xfId="4" applyFont="1" applyBorder="1" applyAlignment="1">
      <alignment wrapText="1"/>
    </xf>
    <xf numFmtId="165" fontId="10" fillId="5" borderId="12" xfId="4" applyNumberFormat="1" applyFont="1" applyBorder="1"/>
    <xf numFmtId="0" fontId="0" fillId="10" borderId="3" xfId="9" applyFont="1" applyBorder="1" applyAlignment="1">
      <alignment wrapText="1"/>
    </xf>
    <xf numFmtId="1" fontId="5" fillId="0" borderId="0" xfId="0" applyNumberFormat="1" applyFont="1"/>
    <xf numFmtId="0" fontId="0" fillId="9" borderId="0" xfId="8" applyFont="1" applyAlignment="1">
      <alignment wrapText="1"/>
    </xf>
    <xf numFmtId="9" fontId="1" fillId="3" borderId="1" xfId="2" applyNumberFormat="1"/>
    <xf numFmtId="2" fontId="1" fillId="3" borderId="1" xfId="2" applyNumberFormat="1"/>
    <xf numFmtId="0" fontId="1" fillId="10" borderId="12" xfId="9" applyBorder="1"/>
    <xf numFmtId="0" fontId="10" fillId="12" borderId="3" xfId="11" applyBorder="1" applyAlignment="1">
      <alignment wrapText="1"/>
    </xf>
    <xf numFmtId="0" fontId="10" fillId="12" borderId="3" xfId="11" applyBorder="1"/>
    <xf numFmtId="0" fontId="10" fillId="11" borderId="3" xfId="10" applyBorder="1" applyAlignment="1">
      <alignment horizontal="center"/>
    </xf>
    <xf numFmtId="0" fontId="10" fillId="11" borderId="3" xfId="10" applyBorder="1" applyAlignment="1">
      <alignment wrapText="1"/>
    </xf>
    <xf numFmtId="0" fontId="10" fillId="11" borderId="3" xfId="10" applyBorder="1"/>
    <xf numFmtId="9" fontId="0" fillId="0" borderId="0" xfId="7" applyFont="1" applyAlignment="1">
      <alignment wrapText="1"/>
    </xf>
    <xf numFmtId="2" fontId="0" fillId="0" borderId="0" xfId="7" applyNumberFormat="1" applyFont="1" applyAlignment="1">
      <alignment wrapText="1"/>
    </xf>
    <xf numFmtId="0" fontId="0" fillId="0" borderId="0" xfId="0" applyAlignment="1">
      <alignment horizontal="left" wrapText="1"/>
    </xf>
    <xf numFmtId="49" fontId="0" fillId="0" borderId="0" xfId="0" applyNumberFormat="1"/>
    <xf numFmtId="0" fontId="1" fillId="3" borderId="1" xfId="2" applyAlignment="1">
      <alignment wrapText="1"/>
    </xf>
    <xf numFmtId="0" fontId="10" fillId="11" borderId="11" xfId="10" applyBorder="1"/>
    <xf numFmtId="0" fontId="15" fillId="0" borderId="0" xfId="0" applyFont="1"/>
    <xf numFmtId="166" fontId="5" fillId="0" borderId="0" xfId="0" applyNumberFormat="1" applyFont="1"/>
    <xf numFmtId="2" fontId="5" fillId="0" borderId="10" xfId="0" applyNumberFormat="1" applyFont="1" applyBorder="1"/>
    <xf numFmtId="1" fontId="1" fillId="3" borderId="3" xfId="2" applyNumberFormat="1" applyBorder="1"/>
    <xf numFmtId="1" fontId="10" fillId="5" borderId="3" xfId="4" applyNumberFormat="1" applyFont="1" applyBorder="1"/>
    <xf numFmtId="2" fontId="10" fillId="5" borderId="3" xfId="4" applyNumberFormat="1" applyFont="1" applyBorder="1"/>
    <xf numFmtId="166" fontId="10" fillId="5" borderId="3" xfId="4" applyNumberFormat="1" applyFont="1" applyBorder="1"/>
    <xf numFmtId="2" fontId="1" fillId="9" borderId="3" xfId="8" applyNumberFormat="1" applyBorder="1"/>
    <xf numFmtId="2" fontId="10" fillId="2" borderId="3" xfId="1" applyNumberFormat="1" applyFont="1" applyBorder="1"/>
    <xf numFmtId="1" fontId="0" fillId="10" borderId="11" xfId="9" applyNumberFormat="1" applyFont="1" applyBorder="1" applyAlignment="1">
      <alignment wrapText="1"/>
    </xf>
    <xf numFmtId="1" fontId="1" fillId="10" borderId="11" xfId="9" applyNumberFormat="1" applyBorder="1"/>
    <xf numFmtId="2" fontId="10" fillId="4" borderId="3" xfId="3" applyNumberFormat="1" applyFont="1" applyBorder="1"/>
    <xf numFmtId="167" fontId="10" fillId="12" borderId="12" xfId="11" applyNumberFormat="1" applyBorder="1"/>
    <xf numFmtId="0" fontId="0" fillId="3" borderId="1" xfId="2" applyFont="1"/>
    <xf numFmtId="2" fontId="1" fillId="3" borderId="3" xfId="7" applyNumberFormat="1" applyFill="1" applyBorder="1"/>
    <xf numFmtId="1" fontId="1" fillId="3" borderId="3" xfId="7" applyNumberFormat="1" applyFill="1" applyBorder="1"/>
    <xf numFmtId="2" fontId="0" fillId="0" borderId="7" xfId="0" applyNumberFormat="1" applyBorder="1"/>
    <xf numFmtId="1" fontId="0" fillId="0" borderId="6" xfId="0" applyNumberFormat="1" applyBorder="1"/>
    <xf numFmtId="2" fontId="10" fillId="4" borderId="2" xfId="3" applyNumberFormat="1"/>
    <xf numFmtId="2" fontId="1" fillId="3" borderId="22" xfId="2" applyNumberFormat="1" applyBorder="1"/>
    <xf numFmtId="0" fontId="0" fillId="0" borderId="21" xfId="0" applyBorder="1"/>
    <xf numFmtId="0" fontId="1" fillId="3" borderId="23" xfId="2" applyBorder="1"/>
    <xf numFmtId="49" fontId="2" fillId="2" borderId="21" xfId="1" applyNumberFormat="1" applyBorder="1"/>
    <xf numFmtId="0" fontId="2" fillId="2" borderId="21" xfId="1" applyBorder="1"/>
    <xf numFmtId="0" fontId="2" fillId="2" borderId="21" xfId="1" applyBorder="1" applyAlignment="1">
      <alignment wrapText="1"/>
    </xf>
    <xf numFmtId="9" fontId="2" fillId="2" borderId="21" xfId="1" applyNumberFormat="1" applyBorder="1" applyAlignment="1">
      <alignment wrapText="1"/>
    </xf>
    <xf numFmtId="2" fontId="0" fillId="0" borderId="21" xfId="7" applyNumberFormat="1" applyFont="1" applyBorder="1" applyAlignment="1">
      <alignment wrapText="1"/>
    </xf>
    <xf numFmtId="2" fontId="1" fillId="3" borderId="23" xfId="2" applyNumberFormat="1" applyBorder="1"/>
    <xf numFmtId="0" fontId="14" fillId="0" borderId="21" xfId="0" applyFont="1" applyBorder="1"/>
    <xf numFmtId="9" fontId="2" fillId="2" borderId="21" xfId="1" applyNumberFormat="1" applyBorder="1"/>
    <xf numFmtId="2" fontId="0" fillId="0" borderId="21" xfId="7" applyNumberFormat="1" applyFont="1" applyBorder="1"/>
    <xf numFmtId="2" fontId="1" fillId="3" borderId="24" xfId="2" applyNumberFormat="1" applyBorder="1"/>
    <xf numFmtId="49" fontId="2" fillId="2" borderId="0" xfId="1" applyNumberFormat="1" applyBorder="1"/>
    <xf numFmtId="0" fontId="2" fillId="2" borderId="0" xfId="1" applyBorder="1"/>
    <xf numFmtId="9" fontId="2" fillId="2" borderId="0" xfId="1" applyNumberFormat="1" applyBorder="1"/>
    <xf numFmtId="2" fontId="0" fillId="0" borderId="0" xfId="7" applyNumberFormat="1" applyFont="1" applyBorder="1"/>
    <xf numFmtId="2" fontId="1" fillId="3" borderId="1" xfId="2" applyNumberFormat="1" applyBorder="1"/>
    <xf numFmtId="0" fontId="1" fillId="3" borderId="21" xfId="2" applyBorder="1"/>
    <xf numFmtId="0" fontId="1" fillId="3" borderId="0" xfId="2" applyBorder="1"/>
    <xf numFmtId="0" fontId="0" fillId="3" borderId="0" xfId="2" applyFont="1" applyBorder="1"/>
    <xf numFmtId="0" fontId="0" fillId="3" borderId="21" xfId="2" applyFont="1" applyBorder="1"/>
    <xf numFmtId="9" fontId="0" fillId="0" borderId="0" xfId="0" applyNumberFormat="1"/>
    <xf numFmtId="9" fontId="1" fillId="3" borderId="21" xfId="2" applyNumberFormat="1" applyBorder="1"/>
    <xf numFmtId="9" fontId="1" fillId="3" borderId="0" xfId="2" applyNumberFormat="1" applyBorder="1"/>
    <xf numFmtId="9" fontId="0" fillId="3" borderId="0" xfId="2" applyNumberFormat="1" applyFont="1" applyBorder="1"/>
    <xf numFmtId="9" fontId="0" fillId="3" borderId="21" xfId="2" applyNumberFormat="1" applyFont="1" applyBorder="1"/>
    <xf numFmtId="9" fontId="0" fillId="0" borderId="0" xfId="0" applyNumberFormat="1" applyBorder="1"/>
    <xf numFmtId="9" fontId="0" fillId="0" borderId="0" xfId="0" applyNumberFormat="1" applyFill="1" applyBorder="1"/>
    <xf numFmtId="0" fontId="2" fillId="2" borderId="21" xfId="1" applyBorder="1" applyAlignment="1">
      <alignment horizontal="left"/>
    </xf>
    <xf numFmtId="0" fontId="2" fillId="2" borderId="0" xfId="1" applyBorder="1" applyAlignment="1">
      <alignment horizontal="left"/>
    </xf>
    <xf numFmtId="0" fontId="0" fillId="0" borderId="6" xfId="0" applyBorder="1"/>
    <xf numFmtId="0" fontId="0" fillId="0" borderId="7" xfId="0" applyNumberFormat="1" applyBorder="1"/>
    <xf numFmtId="0" fontId="0" fillId="0" borderId="8" xfId="0" applyBorder="1"/>
    <xf numFmtId="0" fontId="0" fillId="0" borderId="9" xfId="0" applyNumberFormat="1" applyBorder="1"/>
    <xf numFmtId="0" fontId="0" fillId="0" borderId="7" xfId="0" applyBorder="1"/>
    <xf numFmtId="0" fontId="0" fillId="0" borderId="26" xfId="0" applyBorder="1"/>
    <xf numFmtId="0" fontId="2" fillId="2" borderId="0" xfId="1" applyBorder="1" applyAlignment="1">
      <alignment wrapText="1"/>
    </xf>
    <xf numFmtId="0" fontId="1" fillId="3" borderId="25" xfId="2" applyBorder="1" applyAlignment="1">
      <alignment wrapText="1"/>
    </xf>
    <xf numFmtId="9" fontId="0" fillId="3" borderId="25" xfId="2" applyNumberFormat="1" applyFont="1" applyBorder="1" applyAlignment="1">
      <alignment wrapText="1"/>
    </xf>
    <xf numFmtId="0" fontId="0" fillId="3" borderId="28" xfId="2" applyFont="1" applyBorder="1" applyAlignment="1">
      <alignment wrapText="1"/>
    </xf>
    <xf numFmtId="0" fontId="0" fillId="0" borderId="9" xfId="0" applyBorder="1"/>
    <xf numFmtId="0" fontId="0" fillId="0" borderId="0" xfId="0" applyFill="1" applyBorder="1"/>
    <xf numFmtId="0" fontId="0" fillId="0" borderId="0" xfId="0" applyFont="1"/>
    <xf numFmtId="0" fontId="0" fillId="3" borderId="25" xfId="2" applyFont="1" applyBorder="1" applyAlignment="1">
      <alignment wrapText="1"/>
    </xf>
    <xf numFmtId="0" fontId="10" fillId="4" borderId="3" xfId="3" applyBorder="1"/>
    <xf numFmtId="0" fontId="10" fillId="4" borderId="20" xfId="3" applyBorder="1"/>
    <xf numFmtId="0" fontId="10" fillId="4" borderId="20" xfId="3" applyBorder="1" applyAlignment="1">
      <alignment wrapText="1"/>
    </xf>
    <xf numFmtId="0" fontId="0" fillId="0" borderId="16" xfId="0" applyBorder="1"/>
    <xf numFmtId="167" fontId="0" fillId="0" borderId="10" xfId="0" applyNumberFormat="1" applyBorder="1"/>
    <xf numFmtId="0" fontId="16" fillId="13" borderId="8" xfId="12" applyBorder="1"/>
    <xf numFmtId="0" fontId="16" fillId="13" borderId="21" xfId="12" applyBorder="1"/>
    <xf numFmtId="0" fontId="16" fillId="13" borderId="9" xfId="12" applyBorder="1"/>
    <xf numFmtId="1" fontId="16" fillId="13" borderId="8" xfId="12" applyNumberFormat="1" applyBorder="1"/>
    <xf numFmtId="2" fontId="16" fillId="13" borderId="9" xfId="12" applyNumberFormat="1" applyBorder="1"/>
    <xf numFmtId="14" fontId="0" fillId="0" borderId="0" xfId="0" applyNumberFormat="1" applyAlignment="1">
      <alignment wrapText="1"/>
    </xf>
    <xf numFmtId="0" fontId="10" fillId="4" borderId="18" xfId="3" applyBorder="1" applyAlignment="1">
      <alignment wrapText="1"/>
    </xf>
    <xf numFmtId="0" fontId="0" fillId="0" borderId="0" xfId="0" applyBorder="1" applyAlignment="1">
      <alignment horizontal="left" vertical="top"/>
    </xf>
    <xf numFmtId="0" fontId="0" fillId="0" borderId="21" xfId="0" applyBorder="1" applyAlignment="1">
      <alignment horizontal="left" vertical="top"/>
    </xf>
    <xf numFmtId="0" fontId="6" fillId="5" borderId="3" xfId="4" applyBorder="1" applyAlignment="1">
      <alignment horizontal="center"/>
    </xf>
    <xf numFmtId="0" fontId="0" fillId="10" borderId="3" xfId="9" applyFont="1" applyBorder="1" applyAlignment="1">
      <alignment horizontal="center"/>
    </xf>
    <xf numFmtId="0" fontId="1" fillId="10" borderId="3" xfId="9" applyBorder="1" applyAlignment="1">
      <alignment horizontal="center"/>
    </xf>
    <xf numFmtId="0" fontId="1" fillId="10" borderId="27" xfId="9" applyBorder="1" applyAlignment="1">
      <alignment horizontal="center"/>
    </xf>
    <xf numFmtId="0" fontId="0" fillId="4" borderId="29" xfId="3" applyFont="1" applyBorder="1" applyAlignment="1">
      <alignment horizontal="center"/>
    </xf>
    <xf numFmtId="0" fontId="0" fillId="4" borderId="0" xfId="3" applyFont="1" applyBorder="1" applyAlignment="1">
      <alignment horizontal="center"/>
    </xf>
    <xf numFmtId="0" fontId="0" fillId="4" borderId="30" xfId="3" applyFont="1" applyBorder="1" applyAlignment="1">
      <alignment horizontal="center"/>
    </xf>
    <xf numFmtId="0" fontId="10" fillId="5" borderId="3" xfId="4" applyFont="1" applyBorder="1" applyAlignment="1">
      <alignment horizontal="center"/>
    </xf>
    <xf numFmtId="0" fontId="10" fillId="2" borderId="3" xfId="1" applyFont="1" applyBorder="1" applyAlignment="1">
      <alignment horizontal="center"/>
    </xf>
    <xf numFmtId="0" fontId="0" fillId="9" borderId="3" xfId="8" applyFont="1" applyBorder="1" applyAlignment="1">
      <alignment horizontal="center"/>
    </xf>
    <xf numFmtId="0" fontId="10" fillId="12" borderId="11" xfId="11" applyBorder="1" applyAlignment="1">
      <alignment horizontal="center"/>
    </xf>
    <xf numFmtId="0" fontId="10" fillId="12" borderId="19" xfId="11" applyBorder="1" applyAlignment="1">
      <alignment horizontal="center"/>
    </xf>
    <xf numFmtId="0" fontId="10" fillId="12" borderId="12" xfId="11" applyBorder="1" applyAlignment="1">
      <alignment horizontal="center"/>
    </xf>
    <xf numFmtId="0" fontId="11" fillId="0" borderId="0" xfId="0" quotePrefix="1" applyNumberFormat="1" applyFont="1"/>
    <xf numFmtId="0" fontId="0" fillId="0" borderId="21" xfId="0" quotePrefix="1" applyBorder="1"/>
    <xf numFmtId="0" fontId="0" fillId="0" borderId="26" xfId="0" quotePrefix="1" applyBorder="1" applyAlignment="1">
      <alignment horizontal="left" vertical="top"/>
    </xf>
    <xf numFmtId="0" fontId="0" fillId="0" borderId="0" xfId="0" quotePrefix="1" applyBorder="1"/>
  </cellXfs>
  <cellStyles count="13">
    <cellStyle name="40% - Accent1" xfId="9" builtinId="31"/>
    <cellStyle name="40% - Accent4" xfId="8" builtinId="43"/>
    <cellStyle name="60% - Accent3" xfId="11" builtinId="40" customBuiltin="1"/>
    <cellStyle name="60% - Accent4" xfId="5" builtinId="44" customBuiltin="1"/>
    <cellStyle name="60% - Accent6" xfId="6" builtinId="52" customBuiltin="1"/>
    <cellStyle name="Accent3" xfId="10" builtinId="37" customBuiltin="1"/>
    <cellStyle name="Bad" xfId="12" builtinId="27"/>
    <cellStyle name="Good" xfId="1" builtinId="26"/>
    <cellStyle name="Input" xfId="2" builtinId="20" customBuiltin="1"/>
    <cellStyle name="Neutral" xfId="4" builtinId="28"/>
    <cellStyle name="Normal" xfId="0" builtinId="0"/>
    <cellStyle name="Note" xfId="3" builtinId="10" customBuiltin="1"/>
    <cellStyle name="Percent" xfId="7" builtinId="5"/>
  </cellStyles>
  <dxfs count="0"/>
  <tableStyles count="0" defaultTableStyle="TableStyleMedium2" defaultPivotStyle="PivotStyleLight16"/>
  <colors>
    <mruColors>
      <color rgb="FFE632EA"/>
      <color rgb="FF57FB31"/>
      <color rgb="FFDE8400"/>
      <color rgb="FF996633"/>
      <color rgb="FFFF9900"/>
      <color rgb="FF969696"/>
      <color rgb="FF5F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850598021837532E-2"/>
          <c:y val="5.042050149269281E-2"/>
          <c:w val="0.85230406084405386"/>
          <c:h val="0.71283834534498014"/>
        </c:manualLayout>
      </c:layout>
      <c:barChart>
        <c:barDir val="col"/>
        <c:grouping val="clustered"/>
        <c:varyColors val="0"/>
        <c:ser>
          <c:idx val="0"/>
          <c:order val="3"/>
          <c:tx>
            <c:v>Irrigation</c:v>
          </c:tx>
          <c:spPr>
            <a:solidFill>
              <a:srgbClr val="57FB31"/>
            </a:solidFill>
            <a:ln w="31750">
              <a:solidFill>
                <a:srgbClr val="57FB31"/>
              </a:solidFill>
            </a:ln>
            <a:effectLst/>
          </c:spPr>
          <c:invertIfNegative val="0"/>
          <c:cat>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cat>
          <c:val>
            <c:numRef>
              <c:f>'Fig 8'!$Q$11:$Q$131</c:f>
              <c:numCache>
                <c:formatCode>0.00</c:formatCode>
                <c:ptCount val="121"/>
                <c:pt idx="0">
                  <c:v>221.22580645161293</c:v>
                </c:pt>
                <c:pt idx="1">
                  <c:v>0</c:v>
                </c:pt>
                <c:pt idx="2">
                  <c:v>145.31717117319775</c:v>
                </c:pt>
                <c:pt idx="3">
                  <c:v>0</c:v>
                </c:pt>
                <c:pt idx="4">
                  <c:v>0</c:v>
                </c:pt>
                <c:pt idx="5">
                  <c:v>0</c:v>
                </c:pt>
                <c:pt idx="6">
                  <c:v>0</c:v>
                </c:pt>
                <c:pt idx="7">
                  <c:v>201.94004455097939</c:v>
                </c:pt>
                <c:pt idx="8">
                  <c:v>0</c:v>
                </c:pt>
                <c:pt idx="9">
                  <c:v>124.42132324851698</c:v>
                </c:pt>
                <c:pt idx="10">
                  <c:v>0</c:v>
                </c:pt>
                <c:pt idx="11">
                  <c:v>0</c:v>
                </c:pt>
                <c:pt idx="12">
                  <c:v>0</c:v>
                </c:pt>
                <c:pt idx="13">
                  <c:v>0</c:v>
                </c:pt>
                <c:pt idx="14">
                  <c:v>209.9711957467421</c:v>
                </c:pt>
                <c:pt idx="15">
                  <c:v>0</c:v>
                </c:pt>
                <c:pt idx="16">
                  <c:v>119.38726667220799</c:v>
                </c:pt>
                <c:pt idx="17">
                  <c:v>0</c:v>
                </c:pt>
                <c:pt idx="18">
                  <c:v>129.53212100884639</c:v>
                </c:pt>
                <c:pt idx="19">
                  <c:v>0</c:v>
                </c:pt>
                <c:pt idx="20">
                  <c:v>0</c:v>
                </c:pt>
                <c:pt idx="21">
                  <c:v>171.64615960234468</c:v>
                </c:pt>
                <c:pt idx="22">
                  <c:v>0</c:v>
                </c:pt>
                <c:pt idx="23">
                  <c:v>109.55269530539228</c:v>
                </c:pt>
                <c:pt idx="24">
                  <c:v>0</c:v>
                </c:pt>
                <c:pt idx="25">
                  <c:v>114.43077306822983</c:v>
                </c:pt>
                <c:pt idx="26">
                  <c:v>0</c:v>
                </c:pt>
                <c:pt idx="27">
                  <c:v>0</c:v>
                </c:pt>
                <c:pt idx="28">
                  <c:v>139.66275659824046</c:v>
                </c:pt>
                <c:pt idx="29">
                  <c:v>0</c:v>
                </c:pt>
                <c:pt idx="30">
                  <c:v>100.03536676975604</c:v>
                </c:pt>
                <c:pt idx="31">
                  <c:v>0</c:v>
                </c:pt>
                <c:pt idx="32">
                  <c:v>104.75391939787777</c:v>
                </c:pt>
                <c:pt idx="33">
                  <c:v>0</c:v>
                </c:pt>
                <c:pt idx="34">
                  <c:v>0</c:v>
                </c:pt>
                <c:pt idx="35">
                  <c:v>0</c:v>
                </c:pt>
                <c:pt idx="36">
                  <c:v>0</c:v>
                </c:pt>
                <c:pt idx="37">
                  <c:v>0</c:v>
                </c:pt>
                <c:pt idx="38">
                  <c:v>0</c:v>
                </c:pt>
                <c:pt idx="39">
                  <c:v>95.397996744837315</c:v>
                </c:pt>
                <c:pt idx="40">
                  <c:v>0</c:v>
                </c:pt>
                <c:pt idx="41">
                  <c:v>0</c:v>
                </c:pt>
                <c:pt idx="42">
                  <c:v>0</c:v>
                </c:pt>
                <c:pt idx="43">
                  <c:v>0</c:v>
                </c:pt>
                <c:pt idx="44">
                  <c:v>104.75391939787774</c:v>
                </c:pt>
                <c:pt idx="45">
                  <c:v>0</c:v>
                </c:pt>
                <c:pt idx="46">
                  <c:v>109.55269530539232</c:v>
                </c:pt>
                <c:pt idx="47">
                  <c:v>0</c:v>
                </c:pt>
                <c:pt idx="48">
                  <c:v>0</c:v>
                </c:pt>
                <c:pt idx="49">
                  <c:v>0</c:v>
                </c:pt>
                <c:pt idx="50">
                  <c:v>0</c:v>
                </c:pt>
                <c:pt idx="51">
                  <c:v>0</c:v>
                </c:pt>
                <c:pt idx="52">
                  <c:v>0</c:v>
                </c:pt>
                <c:pt idx="53">
                  <c:v>104.75391939787777</c:v>
                </c:pt>
                <c:pt idx="54">
                  <c:v>0</c:v>
                </c:pt>
                <c:pt idx="55">
                  <c:v>0</c:v>
                </c:pt>
                <c:pt idx="56">
                  <c:v>166.94649430346533</c:v>
                </c:pt>
                <c:pt idx="57">
                  <c:v>0</c:v>
                </c:pt>
                <c:pt idx="58">
                  <c:v>100.03536676975604</c:v>
                </c:pt>
                <c:pt idx="59">
                  <c:v>0</c:v>
                </c:pt>
                <c:pt idx="60">
                  <c:v>109.55269530539232</c:v>
                </c:pt>
                <c:pt idx="61">
                  <c:v>0</c:v>
                </c:pt>
                <c:pt idx="62">
                  <c:v>0</c:v>
                </c:pt>
                <c:pt idx="63">
                  <c:v>0</c:v>
                </c:pt>
                <c:pt idx="64">
                  <c:v>0</c:v>
                </c:pt>
                <c:pt idx="65">
                  <c:v>104.75391939787774</c:v>
                </c:pt>
                <c:pt idx="66">
                  <c:v>0</c:v>
                </c:pt>
                <c:pt idx="67">
                  <c:v>0</c:v>
                </c:pt>
                <c:pt idx="68">
                  <c:v>0</c:v>
                </c:pt>
                <c:pt idx="69">
                  <c:v>0</c:v>
                </c:pt>
                <c:pt idx="70">
                  <c:v>190.7179551137163</c:v>
                </c:pt>
                <c:pt idx="71">
                  <c:v>0</c:v>
                </c:pt>
                <c:pt idx="72">
                  <c:v>0</c:v>
                </c:pt>
                <c:pt idx="73">
                  <c:v>0</c:v>
                </c:pt>
                <c:pt idx="74">
                  <c:v>0</c:v>
                </c:pt>
                <c:pt idx="75">
                  <c:v>0</c:v>
                </c:pt>
                <c:pt idx="76">
                  <c:v>0</c:v>
                </c:pt>
                <c:pt idx="77">
                  <c:v>192.0488522294427</c:v>
                </c:pt>
                <c:pt idx="78">
                  <c:v>0</c:v>
                </c:pt>
                <c:pt idx="79">
                  <c:v>104.75391939787774</c:v>
                </c:pt>
                <c:pt idx="80">
                  <c:v>0</c:v>
                </c:pt>
                <c:pt idx="81">
                  <c:v>95.397996744837315</c:v>
                </c:pt>
                <c:pt idx="82">
                  <c:v>0</c:v>
                </c:pt>
                <c:pt idx="83">
                  <c:v>0</c:v>
                </c:pt>
                <c:pt idx="84">
                  <c:v>182.58782550898712</c:v>
                </c:pt>
                <c:pt idx="85">
                  <c:v>0</c:v>
                </c:pt>
                <c:pt idx="86">
                  <c:v>0</c:v>
                </c:pt>
                <c:pt idx="87">
                  <c:v>0</c:v>
                </c:pt>
                <c:pt idx="88">
                  <c:v>95.397996744837315</c:v>
                </c:pt>
                <c:pt idx="89">
                  <c:v>0</c:v>
                </c:pt>
                <c:pt idx="90">
                  <c:v>0</c:v>
                </c:pt>
                <c:pt idx="91">
                  <c:v>47.698998372418735</c:v>
                </c:pt>
                <c:pt idx="92">
                  <c:v>0</c:v>
                </c:pt>
                <c:pt idx="93">
                  <c:v>95.3979967448373</c:v>
                </c:pt>
                <c:pt idx="94">
                  <c:v>0</c:v>
                </c:pt>
                <c:pt idx="95">
                  <c:v>95.397996744837315</c:v>
                </c:pt>
                <c:pt idx="96">
                  <c:v>0</c:v>
                </c:pt>
                <c:pt idx="97">
                  <c:v>0</c:v>
                </c:pt>
                <c:pt idx="98">
                  <c:v>190.79599348967474</c:v>
                </c:pt>
                <c:pt idx="99">
                  <c:v>0</c:v>
                </c:pt>
                <c:pt idx="100">
                  <c:v>95.3979967448373</c:v>
                </c:pt>
                <c:pt idx="101">
                  <c:v>0</c:v>
                </c:pt>
                <c:pt idx="102">
                  <c:v>95.397996744837315</c:v>
                </c:pt>
                <c:pt idx="103">
                  <c:v>0</c:v>
                </c:pt>
                <c:pt idx="104">
                  <c:v>0</c:v>
                </c:pt>
                <c:pt idx="105">
                  <c:v>136.26421393760901</c:v>
                </c:pt>
                <c:pt idx="106">
                  <c:v>0</c:v>
                </c:pt>
                <c:pt idx="107">
                  <c:v>0</c:v>
                </c:pt>
                <c:pt idx="108">
                  <c:v>0</c:v>
                </c:pt>
                <c:pt idx="109">
                  <c:v>0</c:v>
                </c:pt>
                <c:pt idx="110">
                  <c:v>0</c:v>
                </c:pt>
                <c:pt idx="111">
                  <c:v>0</c:v>
                </c:pt>
                <c:pt idx="112">
                  <c:v>95.397996744837371</c:v>
                </c:pt>
                <c:pt idx="113">
                  <c:v>0</c:v>
                </c:pt>
                <c:pt idx="114">
                  <c:v>95.380351906158353</c:v>
                </c:pt>
                <c:pt idx="115">
                  <c:v>0</c:v>
                </c:pt>
                <c:pt idx="116">
                  <c:v>95.397996744837315</c:v>
                </c:pt>
                <c:pt idx="117">
                  <c:v>0</c:v>
                </c:pt>
                <c:pt idx="118">
                  <c:v>0</c:v>
                </c:pt>
                <c:pt idx="119">
                  <c:v>90.8428092917394</c:v>
                </c:pt>
                <c:pt idx="120">
                  <c:v>0</c:v>
                </c:pt>
              </c:numCache>
            </c:numRef>
          </c:val>
          <c:extLst>
            <c:ext xmlns:c16="http://schemas.microsoft.com/office/drawing/2014/chart" uri="{C3380CC4-5D6E-409C-BE32-E72D297353CC}">
              <c16:uniqueId val="{00000000-2E49-4EA2-A09B-C3745B30A343}"/>
            </c:ext>
          </c:extLst>
        </c:ser>
        <c:ser>
          <c:idx val="3"/>
          <c:order val="4"/>
          <c:tx>
            <c:v>Irrigation Return Flow</c:v>
          </c:tx>
          <c:spPr>
            <a:solidFill>
              <a:srgbClr val="00B0F0"/>
            </a:solidFill>
            <a:ln w="31750">
              <a:solidFill>
                <a:srgbClr val="00B0F0"/>
              </a:solidFill>
            </a:ln>
            <a:effectLst/>
          </c:spPr>
          <c:invertIfNegative val="0"/>
          <c:cat>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cat>
          <c:val>
            <c:numRef>
              <c:f>'Fig 8'!$AV$11:$AV$131</c:f>
              <c:numCache>
                <c:formatCode>0.00</c:formatCode>
                <c:ptCount val="121"/>
                <c:pt idx="0">
                  <c:v>220.01930645161295</c:v>
                </c:pt>
                <c:pt idx="1">
                  <c:v>0</c:v>
                </c:pt>
                <c:pt idx="2">
                  <c:v>143.74723338452256</c:v>
                </c:pt>
                <c:pt idx="3">
                  <c:v>0</c:v>
                </c:pt>
                <c:pt idx="4">
                  <c:v>0</c:v>
                </c:pt>
                <c:pt idx="5">
                  <c:v>0</c:v>
                </c:pt>
                <c:pt idx="6">
                  <c:v>0</c:v>
                </c:pt>
                <c:pt idx="7">
                  <c:v>198.77176412769899</c:v>
                </c:pt>
                <c:pt idx="8">
                  <c:v>0</c:v>
                </c:pt>
                <c:pt idx="9">
                  <c:v>122.89955815951613</c:v>
                </c:pt>
                <c:pt idx="10">
                  <c:v>0</c:v>
                </c:pt>
                <c:pt idx="11">
                  <c:v>0</c:v>
                </c:pt>
                <c:pt idx="12">
                  <c:v>0</c:v>
                </c:pt>
                <c:pt idx="13">
                  <c:v>0</c:v>
                </c:pt>
                <c:pt idx="14">
                  <c:v>204.368558890971</c:v>
                </c:pt>
                <c:pt idx="15">
                  <c:v>0</c:v>
                </c:pt>
                <c:pt idx="16">
                  <c:v>115.55852105237328</c:v>
                </c:pt>
                <c:pt idx="17">
                  <c:v>0</c:v>
                </c:pt>
                <c:pt idx="18">
                  <c:v>125.25047869479681</c:v>
                </c:pt>
                <c:pt idx="19">
                  <c:v>0</c:v>
                </c:pt>
                <c:pt idx="20">
                  <c:v>0</c:v>
                </c:pt>
                <c:pt idx="21">
                  <c:v>166.51876996816367</c:v>
                </c:pt>
                <c:pt idx="22">
                  <c:v>0</c:v>
                </c:pt>
                <c:pt idx="23">
                  <c:v>106.14508588390468</c:v>
                </c:pt>
                <c:pt idx="24">
                  <c:v>0</c:v>
                </c:pt>
                <c:pt idx="25">
                  <c:v>110.79030232442818</c:v>
                </c:pt>
                <c:pt idx="26">
                  <c:v>0</c:v>
                </c:pt>
                <c:pt idx="27">
                  <c:v>0</c:v>
                </c:pt>
                <c:pt idx="28">
                  <c:v>132.9054904138205</c:v>
                </c:pt>
                <c:pt idx="29">
                  <c:v>0</c:v>
                </c:pt>
                <c:pt idx="30">
                  <c:v>94.973419662318022</c:v>
                </c:pt>
                <c:pt idx="31">
                  <c:v>0</c:v>
                </c:pt>
                <c:pt idx="32">
                  <c:v>99.716721546638098</c:v>
                </c:pt>
                <c:pt idx="33">
                  <c:v>0</c:v>
                </c:pt>
                <c:pt idx="34">
                  <c:v>0</c:v>
                </c:pt>
                <c:pt idx="35">
                  <c:v>0</c:v>
                </c:pt>
                <c:pt idx="36">
                  <c:v>0</c:v>
                </c:pt>
                <c:pt idx="37">
                  <c:v>0</c:v>
                </c:pt>
                <c:pt idx="38">
                  <c:v>0</c:v>
                </c:pt>
                <c:pt idx="39">
                  <c:v>90.047705774884179</c:v>
                </c:pt>
                <c:pt idx="40">
                  <c:v>0</c:v>
                </c:pt>
                <c:pt idx="41">
                  <c:v>0</c:v>
                </c:pt>
                <c:pt idx="42">
                  <c:v>0</c:v>
                </c:pt>
                <c:pt idx="43">
                  <c:v>0</c:v>
                </c:pt>
                <c:pt idx="44">
                  <c:v>91.009307818055376</c:v>
                </c:pt>
                <c:pt idx="45">
                  <c:v>0</c:v>
                </c:pt>
                <c:pt idx="46">
                  <c:v>104.76893067729316</c:v>
                </c:pt>
                <c:pt idx="47">
                  <c:v>0</c:v>
                </c:pt>
                <c:pt idx="48">
                  <c:v>0</c:v>
                </c:pt>
                <c:pt idx="49">
                  <c:v>0</c:v>
                </c:pt>
                <c:pt idx="50">
                  <c:v>0</c:v>
                </c:pt>
                <c:pt idx="51">
                  <c:v>0</c:v>
                </c:pt>
                <c:pt idx="52">
                  <c:v>0</c:v>
                </c:pt>
                <c:pt idx="53">
                  <c:v>84.506901896534842</c:v>
                </c:pt>
                <c:pt idx="54">
                  <c:v>0</c:v>
                </c:pt>
                <c:pt idx="55">
                  <c:v>0</c:v>
                </c:pt>
                <c:pt idx="56">
                  <c:v>155.2399743758464</c:v>
                </c:pt>
                <c:pt idx="57">
                  <c:v>0</c:v>
                </c:pt>
                <c:pt idx="58">
                  <c:v>92.489110736698194</c:v>
                </c:pt>
                <c:pt idx="59">
                  <c:v>0</c:v>
                </c:pt>
                <c:pt idx="60">
                  <c:v>100.91161530539232</c:v>
                </c:pt>
                <c:pt idx="61">
                  <c:v>0</c:v>
                </c:pt>
                <c:pt idx="62">
                  <c:v>0</c:v>
                </c:pt>
                <c:pt idx="63">
                  <c:v>0</c:v>
                </c:pt>
                <c:pt idx="64">
                  <c:v>0</c:v>
                </c:pt>
                <c:pt idx="65">
                  <c:v>95.430566009447986</c:v>
                </c:pt>
                <c:pt idx="66">
                  <c:v>0</c:v>
                </c:pt>
                <c:pt idx="67">
                  <c:v>0</c:v>
                </c:pt>
                <c:pt idx="68">
                  <c:v>0</c:v>
                </c:pt>
                <c:pt idx="69">
                  <c:v>0</c:v>
                </c:pt>
                <c:pt idx="70">
                  <c:v>175.07888122941878</c:v>
                </c:pt>
                <c:pt idx="71">
                  <c:v>0</c:v>
                </c:pt>
                <c:pt idx="72">
                  <c:v>0</c:v>
                </c:pt>
                <c:pt idx="73">
                  <c:v>0</c:v>
                </c:pt>
                <c:pt idx="74">
                  <c:v>0</c:v>
                </c:pt>
                <c:pt idx="75">
                  <c:v>0</c:v>
                </c:pt>
                <c:pt idx="76">
                  <c:v>0</c:v>
                </c:pt>
                <c:pt idx="77">
                  <c:v>163.64056840501971</c:v>
                </c:pt>
                <c:pt idx="78">
                  <c:v>0</c:v>
                </c:pt>
                <c:pt idx="79">
                  <c:v>95.475740224324028</c:v>
                </c:pt>
                <c:pt idx="80">
                  <c:v>0</c:v>
                </c:pt>
                <c:pt idx="81">
                  <c:v>84.997221538225745</c:v>
                </c:pt>
                <c:pt idx="82">
                  <c:v>0</c:v>
                </c:pt>
                <c:pt idx="83">
                  <c:v>0</c:v>
                </c:pt>
                <c:pt idx="84">
                  <c:v>168.70615873212762</c:v>
                </c:pt>
                <c:pt idx="85">
                  <c:v>0</c:v>
                </c:pt>
                <c:pt idx="86">
                  <c:v>0</c:v>
                </c:pt>
                <c:pt idx="87">
                  <c:v>0</c:v>
                </c:pt>
                <c:pt idx="88">
                  <c:v>80.483998397729891</c:v>
                </c:pt>
                <c:pt idx="89">
                  <c:v>0</c:v>
                </c:pt>
                <c:pt idx="90">
                  <c:v>0</c:v>
                </c:pt>
                <c:pt idx="91">
                  <c:v>34.476430107955935</c:v>
                </c:pt>
                <c:pt idx="92">
                  <c:v>0</c:v>
                </c:pt>
                <c:pt idx="93">
                  <c:v>85.277587158060442</c:v>
                </c:pt>
                <c:pt idx="94">
                  <c:v>0</c:v>
                </c:pt>
                <c:pt idx="95">
                  <c:v>85.087192116738152</c:v>
                </c:pt>
                <c:pt idx="96">
                  <c:v>0</c:v>
                </c:pt>
                <c:pt idx="97">
                  <c:v>0</c:v>
                </c:pt>
                <c:pt idx="98">
                  <c:v>182.59301101033589</c:v>
                </c:pt>
                <c:pt idx="99">
                  <c:v>0</c:v>
                </c:pt>
                <c:pt idx="100">
                  <c:v>90.404944513432341</c:v>
                </c:pt>
                <c:pt idx="101">
                  <c:v>0</c:v>
                </c:pt>
                <c:pt idx="102">
                  <c:v>90.735879224176173</c:v>
                </c:pt>
                <c:pt idx="103">
                  <c:v>0</c:v>
                </c:pt>
                <c:pt idx="104">
                  <c:v>0</c:v>
                </c:pt>
                <c:pt idx="105">
                  <c:v>131.32792330284553</c:v>
                </c:pt>
                <c:pt idx="106">
                  <c:v>0</c:v>
                </c:pt>
                <c:pt idx="107">
                  <c:v>0</c:v>
                </c:pt>
                <c:pt idx="108">
                  <c:v>0</c:v>
                </c:pt>
                <c:pt idx="109">
                  <c:v>0</c:v>
                </c:pt>
                <c:pt idx="110">
                  <c:v>0</c:v>
                </c:pt>
                <c:pt idx="111">
                  <c:v>0</c:v>
                </c:pt>
                <c:pt idx="112">
                  <c:v>90.717994265498518</c:v>
                </c:pt>
                <c:pt idx="113">
                  <c:v>0</c:v>
                </c:pt>
                <c:pt idx="114">
                  <c:v>93.534170749133551</c:v>
                </c:pt>
                <c:pt idx="115">
                  <c:v>0</c:v>
                </c:pt>
                <c:pt idx="116">
                  <c:v>93.636454265498472</c:v>
                </c:pt>
                <c:pt idx="117">
                  <c:v>0</c:v>
                </c:pt>
                <c:pt idx="118">
                  <c:v>0</c:v>
                </c:pt>
                <c:pt idx="119">
                  <c:v>88.11094482892949</c:v>
                </c:pt>
                <c:pt idx="120">
                  <c:v>0</c:v>
                </c:pt>
              </c:numCache>
            </c:numRef>
          </c:val>
          <c:extLst>
            <c:ext xmlns:c16="http://schemas.microsoft.com/office/drawing/2014/chart" uri="{C3380CC4-5D6E-409C-BE32-E72D297353CC}">
              <c16:uniqueId val="{00000001-2E49-4EA2-A09B-C3745B30A343}"/>
            </c:ext>
          </c:extLst>
        </c:ser>
        <c:dLbls>
          <c:showLegendKey val="0"/>
          <c:showVal val="0"/>
          <c:showCatName val="0"/>
          <c:showSerName val="0"/>
          <c:showPercent val="0"/>
          <c:showBubbleSize val="0"/>
        </c:dLbls>
        <c:gapWidth val="150"/>
        <c:axId val="181250560"/>
        <c:axId val="86755008"/>
      </c:barChart>
      <c:barChart>
        <c:barDir val="col"/>
        <c:grouping val="clustered"/>
        <c:varyColors val="0"/>
        <c:ser>
          <c:idx val="4"/>
          <c:order val="2"/>
          <c:tx>
            <c:v>Precipitation</c:v>
          </c:tx>
          <c:spPr>
            <a:solidFill>
              <a:srgbClr val="DE8400"/>
            </a:solidFill>
            <a:ln w="19050">
              <a:solidFill>
                <a:srgbClr val="DE8400"/>
              </a:solidFill>
            </a:ln>
            <a:effectLst/>
          </c:spPr>
          <c:invertIfNegative val="0"/>
          <c:cat>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cat>
          <c:val>
            <c:numRef>
              <c:f>'Fig 8'!$V$11:$V$131</c:f>
              <c:numCache>
                <c:formatCode>0.00</c:formatCode>
                <c:ptCount val="121"/>
                <c:pt idx="0">
                  <c:v>0</c:v>
                </c:pt>
                <c:pt idx="1">
                  <c:v>0</c:v>
                </c:pt>
                <c:pt idx="2">
                  <c:v>6.4000000000000001E-2</c:v>
                </c:pt>
                <c:pt idx="3">
                  <c:v>0</c:v>
                </c:pt>
                <c:pt idx="4">
                  <c:v>0</c:v>
                </c:pt>
                <c:pt idx="5">
                  <c:v>0</c:v>
                </c:pt>
                <c:pt idx="6">
                  <c:v>0</c:v>
                </c:pt>
                <c:pt idx="7">
                  <c:v>0</c:v>
                </c:pt>
                <c:pt idx="8">
                  <c:v>0</c:v>
                </c:pt>
                <c:pt idx="9">
                  <c:v>0.41600000000000004</c:v>
                </c:pt>
                <c:pt idx="10">
                  <c:v>7.1999999999999995E-2</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7.1999999999999995E-2</c:v>
                </c:pt>
                <c:pt idx="35">
                  <c:v>0</c:v>
                </c:pt>
                <c:pt idx="36">
                  <c:v>0</c:v>
                </c:pt>
                <c:pt idx="37">
                  <c:v>0.2</c:v>
                </c:pt>
                <c:pt idx="38">
                  <c:v>0.15200000000000002</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6.4000000000000001E-2</c:v>
                </c:pt>
                <c:pt idx="57">
                  <c:v>0</c:v>
                </c:pt>
                <c:pt idx="58">
                  <c:v>0</c:v>
                </c:pt>
                <c:pt idx="59">
                  <c:v>0</c:v>
                </c:pt>
                <c:pt idx="60">
                  <c:v>0</c:v>
                </c:pt>
                <c:pt idx="61">
                  <c:v>0</c:v>
                </c:pt>
                <c:pt idx="62">
                  <c:v>0</c:v>
                </c:pt>
                <c:pt idx="63">
                  <c:v>0.38400000000000001</c:v>
                </c:pt>
                <c:pt idx="64">
                  <c:v>0</c:v>
                </c:pt>
                <c:pt idx="65">
                  <c:v>0</c:v>
                </c:pt>
                <c:pt idx="66">
                  <c:v>0</c:v>
                </c:pt>
                <c:pt idx="67">
                  <c:v>8.8000000000000009E-2</c:v>
                </c:pt>
                <c:pt idx="68">
                  <c:v>0</c:v>
                </c:pt>
                <c:pt idx="69">
                  <c:v>0</c:v>
                </c:pt>
                <c:pt idx="70">
                  <c:v>0</c:v>
                </c:pt>
                <c:pt idx="71">
                  <c:v>0.16000000000000003</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0.12</c:v>
                </c:pt>
                <c:pt idx="106">
                  <c:v>7.1999999999999995E-2</c:v>
                </c:pt>
                <c:pt idx="107">
                  <c:v>0.78400000000000003</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numCache>
            </c:numRef>
          </c:val>
          <c:extLst>
            <c:ext xmlns:c16="http://schemas.microsoft.com/office/drawing/2014/chart" uri="{C3380CC4-5D6E-409C-BE32-E72D297353CC}">
              <c16:uniqueId val="{00000002-2E49-4EA2-A09B-C3745B30A343}"/>
            </c:ext>
          </c:extLst>
        </c:ser>
        <c:dLbls>
          <c:showLegendKey val="0"/>
          <c:showVal val="0"/>
          <c:showCatName val="0"/>
          <c:showSerName val="0"/>
          <c:showPercent val="0"/>
          <c:showBubbleSize val="0"/>
        </c:dLbls>
        <c:gapWidth val="150"/>
        <c:axId val="181251072"/>
        <c:axId val="86756736"/>
      </c:barChart>
      <c:scatterChart>
        <c:scatterStyle val="lineMarker"/>
        <c:varyColors val="0"/>
        <c:ser>
          <c:idx val="1"/>
          <c:order val="1"/>
          <c:tx>
            <c:v>Total Available Water (TAW)</c:v>
          </c:tx>
          <c:spPr>
            <a:ln w="28575" cap="rnd">
              <a:solidFill>
                <a:schemeClr val="tx1"/>
              </a:solidFill>
              <a:prstDash val="lgDash"/>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8'!$AL$11:$AL$131</c:f>
              <c:numCache>
                <c:formatCode>0.00</c:formatCode>
                <c:ptCount val="121"/>
                <c:pt idx="0">
                  <c:v>6.8579999999999997</c:v>
                </c:pt>
                <c:pt idx="1">
                  <c:v>6.8579999999999997</c:v>
                </c:pt>
                <c:pt idx="2">
                  <c:v>6.8579999999999997</c:v>
                </c:pt>
                <c:pt idx="3">
                  <c:v>6.8579999999999997</c:v>
                </c:pt>
                <c:pt idx="4">
                  <c:v>6.8579999999999997</c:v>
                </c:pt>
                <c:pt idx="5">
                  <c:v>6.8579999999999997</c:v>
                </c:pt>
                <c:pt idx="6">
                  <c:v>6.8579999999999997</c:v>
                </c:pt>
                <c:pt idx="7">
                  <c:v>6.8579999999999997</c:v>
                </c:pt>
                <c:pt idx="8">
                  <c:v>6.8579999999999997</c:v>
                </c:pt>
                <c:pt idx="9">
                  <c:v>6.8579999999999997</c:v>
                </c:pt>
                <c:pt idx="10">
                  <c:v>6.8579999999999997</c:v>
                </c:pt>
                <c:pt idx="11">
                  <c:v>6.8579999999999997</c:v>
                </c:pt>
                <c:pt idx="12">
                  <c:v>6.8579999999999997</c:v>
                </c:pt>
                <c:pt idx="13">
                  <c:v>6.8579999999999997</c:v>
                </c:pt>
                <c:pt idx="14">
                  <c:v>6.8579999999999997</c:v>
                </c:pt>
                <c:pt idx="15">
                  <c:v>7.1503375380600254</c:v>
                </c:pt>
                <c:pt idx="16">
                  <c:v>7.4844375815571995</c:v>
                </c:pt>
                <c:pt idx="17">
                  <c:v>7.8185376250543719</c:v>
                </c:pt>
                <c:pt idx="18">
                  <c:v>8.1526376685515451</c:v>
                </c:pt>
                <c:pt idx="19">
                  <c:v>8.4867377120487202</c:v>
                </c:pt>
                <c:pt idx="20">
                  <c:v>8.8208377555458917</c:v>
                </c:pt>
                <c:pt idx="21">
                  <c:v>9.1549377990430632</c:v>
                </c:pt>
                <c:pt idx="22">
                  <c:v>9.5586420182688165</c:v>
                </c:pt>
                <c:pt idx="23">
                  <c:v>10.115475424097438</c:v>
                </c:pt>
                <c:pt idx="24">
                  <c:v>10.672308829926056</c:v>
                </c:pt>
                <c:pt idx="25">
                  <c:v>11.229142235754681</c:v>
                </c:pt>
                <c:pt idx="26">
                  <c:v>11.785975641583303</c:v>
                </c:pt>
                <c:pt idx="27">
                  <c:v>12.342809047411924</c:v>
                </c:pt>
                <c:pt idx="28">
                  <c:v>12.899642453240544</c:v>
                </c:pt>
                <c:pt idx="29">
                  <c:v>13.456475859069167</c:v>
                </c:pt>
                <c:pt idx="30">
                  <c:v>14.096834275772075</c:v>
                </c:pt>
                <c:pt idx="31">
                  <c:v>14.765034362766423</c:v>
                </c:pt>
                <c:pt idx="32">
                  <c:v>15.433234449760766</c:v>
                </c:pt>
                <c:pt idx="33">
                  <c:v>16.101434536755114</c:v>
                </c:pt>
                <c:pt idx="34">
                  <c:v>16.769634623749461</c:v>
                </c:pt>
                <c:pt idx="35">
                  <c:v>17.437834710743807</c:v>
                </c:pt>
                <c:pt idx="36">
                  <c:v>18.10603479773815</c:v>
                </c:pt>
                <c:pt idx="37">
                  <c:v>18.795116137451068</c:v>
                </c:pt>
                <c:pt idx="38">
                  <c:v>19.574682905611134</c:v>
                </c:pt>
                <c:pt idx="39">
                  <c:v>20.354249673771207</c:v>
                </c:pt>
                <c:pt idx="40">
                  <c:v>21.133816441931273</c:v>
                </c:pt>
                <c:pt idx="41">
                  <c:v>21.913383210091343</c:v>
                </c:pt>
                <c:pt idx="42">
                  <c:v>22.69294997825142</c:v>
                </c:pt>
                <c:pt idx="43">
                  <c:v>23.472516746411486</c:v>
                </c:pt>
                <c:pt idx="44">
                  <c:v>24.252083514571556</c:v>
                </c:pt>
                <c:pt idx="45">
                  <c:v>25.1012544584602</c:v>
                </c:pt>
                <c:pt idx="46">
                  <c:v>25.992187907785997</c:v>
                </c:pt>
                <c:pt idx="47">
                  <c:v>26.883121357111794</c:v>
                </c:pt>
                <c:pt idx="48">
                  <c:v>27.774054806437583</c:v>
                </c:pt>
                <c:pt idx="49">
                  <c:v>28.664988255763376</c:v>
                </c:pt>
                <c:pt idx="50">
                  <c:v>29.555921705089172</c:v>
                </c:pt>
                <c:pt idx="51">
                  <c:v>30.446855154414969</c:v>
                </c:pt>
                <c:pt idx="52">
                  <c:v>31.344749021313625</c:v>
                </c:pt>
                <c:pt idx="53">
                  <c:v>32.347049151805145</c:v>
                </c:pt>
                <c:pt idx="54">
                  <c:v>33.349349282296664</c:v>
                </c:pt>
                <c:pt idx="55">
                  <c:v>34.35164941278817</c:v>
                </c:pt>
                <c:pt idx="56">
                  <c:v>35.353949543279697</c:v>
                </c:pt>
                <c:pt idx="57">
                  <c:v>36.35624967377121</c:v>
                </c:pt>
                <c:pt idx="58">
                  <c:v>37.358549804262729</c:v>
                </c:pt>
                <c:pt idx="59">
                  <c:v>38.360849934754242</c:v>
                </c:pt>
                <c:pt idx="60">
                  <c:v>39.363150065245755</c:v>
                </c:pt>
                <c:pt idx="61">
                  <c:v>40.365450195737274</c:v>
                </c:pt>
                <c:pt idx="62">
                  <c:v>41.367750326228801</c:v>
                </c:pt>
                <c:pt idx="63">
                  <c:v>42.370050456720307</c:v>
                </c:pt>
                <c:pt idx="64">
                  <c:v>43.372350587211841</c:v>
                </c:pt>
                <c:pt idx="65">
                  <c:v>44.374650717703354</c:v>
                </c:pt>
                <c:pt idx="66">
                  <c:v>45.376950848194859</c:v>
                </c:pt>
                <c:pt idx="67">
                  <c:v>46.379250978686393</c:v>
                </c:pt>
                <c:pt idx="68">
                  <c:v>47.48595737277077</c:v>
                </c:pt>
                <c:pt idx="69">
                  <c:v>48.599624184428016</c:v>
                </c:pt>
                <c:pt idx="70">
                  <c:v>49.713290996085263</c:v>
                </c:pt>
                <c:pt idx="71">
                  <c:v>50.826957807742495</c:v>
                </c:pt>
                <c:pt idx="72">
                  <c:v>51.940624619399735</c:v>
                </c:pt>
                <c:pt idx="73">
                  <c:v>53.054291431056974</c:v>
                </c:pt>
                <c:pt idx="74">
                  <c:v>54.167958242714228</c:v>
                </c:pt>
                <c:pt idx="75">
                  <c:v>54.863999999999997</c:v>
                </c:pt>
                <c:pt idx="76">
                  <c:v>54.863999999999997</c:v>
                </c:pt>
                <c:pt idx="77">
                  <c:v>54.863999999999997</c:v>
                </c:pt>
                <c:pt idx="78">
                  <c:v>54.863999999999997</c:v>
                </c:pt>
                <c:pt idx="79">
                  <c:v>54.863999999999997</c:v>
                </c:pt>
                <c:pt idx="80">
                  <c:v>54.863999999999997</c:v>
                </c:pt>
                <c:pt idx="81">
                  <c:v>54.863999999999997</c:v>
                </c:pt>
                <c:pt idx="82">
                  <c:v>54.863999999999997</c:v>
                </c:pt>
                <c:pt idx="83">
                  <c:v>54.863999999999997</c:v>
                </c:pt>
                <c:pt idx="84">
                  <c:v>54.863999999999997</c:v>
                </c:pt>
                <c:pt idx="85">
                  <c:v>54.863999999999997</c:v>
                </c:pt>
                <c:pt idx="86">
                  <c:v>54.863999999999997</c:v>
                </c:pt>
                <c:pt idx="87">
                  <c:v>54.863999999999997</c:v>
                </c:pt>
                <c:pt idx="88">
                  <c:v>54.863999999999997</c:v>
                </c:pt>
                <c:pt idx="89">
                  <c:v>54.863999999999997</c:v>
                </c:pt>
                <c:pt idx="90">
                  <c:v>54.863999999999997</c:v>
                </c:pt>
                <c:pt idx="91">
                  <c:v>54.863999999999997</c:v>
                </c:pt>
                <c:pt idx="92">
                  <c:v>54.863999999999997</c:v>
                </c:pt>
                <c:pt idx="93">
                  <c:v>54.863999999999997</c:v>
                </c:pt>
                <c:pt idx="94">
                  <c:v>54.863999999999997</c:v>
                </c:pt>
                <c:pt idx="95">
                  <c:v>54.863999999999997</c:v>
                </c:pt>
                <c:pt idx="96">
                  <c:v>54.863999999999997</c:v>
                </c:pt>
                <c:pt idx="97">
                  <c:v>54.863999999999997</c:v>
                </c:pt>
                <c:pt idx="98">
                  <c:v>54.863999999999997</c:v>
                </c:pt>
                <c:pt idx="99">
                  <c:v>54.863999999999997</c:v>
                </c:pt>
                <c:pt idx="100">
                  <c:v>54.863999999999997</c:v>
                </c:pt>
                <c:pt idx="101">
                  <c:v>54.863999999999997</c:v>
                </c:pt>
                <c:pt idx="102">
                  <c:v>54.863999999999997</c:v>
                </c:pt>
                <c:pt idx="103">
                  <c:v>54.863999999999997</c:v>
                </c:pt>
                <c:pt idx="104">
                  <c:v>54.863999999999997</c:v>
                </c:pt>
                <c:pt idx="105">
                  <c:v>54.863999999999997</c:v>
                </c:pt>
                <c:pt idx="106">
                  <c:v>54.863999999999997</c:v>
                </c:pt>
                <c:pt idx="107">
                  <c:v>54.863999999999997</c:v>
                </c:pt>
                <c:pt idx="108">
                  <c:v>54.863999999999997</c:v>
                </c:pt>
                <c:pt idx="109">
                  <c:v>54.863999999999997</c:v>
                </c:pt>
                <c:pt idx="110">
                  <c:v>54.863999999999997</c:v>
                </c:pt>
                <c:pt idx="111">
                  <c:v>54.863999999999997</c:v>
                </c:pt>
                <c:pt idx="112">
                  <c:v>54.863999999999997</c:v>
                </c:pt>
                <c:pt idx="113">
                  <c:v>54.863999999999997</c:v>
                </c:pt>
                <c:pt idx="114">
                  <c:v>54.863999999999997</c:v>
                </c:pt>
                <c:pt idx="115">
                  <c:v>54.863999999999997</c:v>
                </c:pt>
                <c:pt idx="116">
                  <c:v>54.863999999999997</c:v>
                </c:pt>
                <c:pt idx="117">
                  <c:v>54.863999999999997</c:v>
                </c:pt>
                <c:pt idx="118">
                  <c:v>54.863999999999997</c:v>
                </c:pt>
                <c:pt idx="119">
                  <c:v>54.863999999999997</c:v>
                </c:pt>
                <c:pt idx="120">
                  <c:v>54.863999999999997</c:v>
                </c:pt>
              </c:numCache>
            </c:numRef>
          </c:yVal>
          <c:smooth val="0"/>
          <c:extLst>
            <c:ext xmlns:c16="http://schemas.microsoft.com/office/drawing/2014/chart" uri="{C3380CC4-5D6E-409C-BE32-E72D297353CC}">
              <c16:uniqueId val="{00000003-2E49-4EA2-A09B-C3745B30A343}"/>
            </c:ext>
          </c:extLst>
        </c:ser>
        <c:dLbls>
          <c:showLegendKey val="0"/>
          <c:showVal val="0"/>
          <c:showCatName val="0"/>
          <c:showSerName val="0"/>
          <c:showPercent val="0"/>
          <c:showBubbleSize val="0"/>
        </c:dLbls>
        <c:axId val="181250560"/>
        <c:axId val="86755008"/>
      </c:scatterChart>
      <c:scatterChart>
        <c:scatterStyle val="lineMarker"/>
        <c:varyColors val="0"/>
        <c:ser>
          <c:idx val="2"/>
          <c:order val="0"/>
          <c:tx>
            <c:v>Available Water (AW)</c:v>
          </c:tx>
          <c:spPr>
            <a:ln w="28575" cap="rnd">
              <a:solidFill>
                <a:srgbClr val="FF0000"/>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8'!$AQ$11:$AQ$131</c:f>
              <c:numCache>
                <c:formatCode>0.00</c:formatCode>
                <c:ptCount val="121"/>
                <c:pt idx="0">
                  <c:v>0.27</c:v>
                </c:pt>
                <c:pt idx="1">
                  <c:v>0.23750000000000002</c:v>
                </c:pt>
                <c:pt idx="2">
                  <c:v>0.27</c:v>
                </c:pt>
                <c:pt idx="3">
                  <c:v>0.25</c:v>
                </c:pt>
                <c:pt idx="4">
                  <c:v>0.22750000000000004</c:v>
                </c:pt>
                <c:pt idx="5">
                  <c:v>0.19750000000000001</c:v>
                </c:pt>
                <c:pt idx="6">
                  <c:v>0.17000000000000004</c:v>
                </c:pt>
                <c:pt idx="7">
                  <c:v>0.27</c:v>
                </c:pt>
                <c:pt idx="8">
                  <c:v>0.24250000000000002</c:v>
                </c:pt>
                <c:pt idx="9">
                  <c:v>0.27</c:v>
                </c:pt>
                <c:pt idx="10">
                  <c:v>0.27</c:v>
                </c:pt>
                <c:pt idx="11">
                  <c:v>0.20500000000000002</c:v>
                </c:pt>
                <c:pt idx="12">
                  <c:v>0.13750000000000001</c:v>
                </c:pt>
                <c:pt idx="13">
                  <c:v>9.2030423280423296E-2</c:v>
                </c:pt>
                <c:pt idx="14">
                  <c:v>0.27</c:v>
                </c:pt>
                <c:pt idx="15">
                  <c:v>0.20800274032187907</c:v>
                </c:pt>
                <c:pt idx="16">
                  <c:v>0.29466289691170078</c:v>
                </c:pt>
                <c:pt idx="17">
                  <c:v>0.22416685515441498</c:v>
                </c:pt>
                <c:pt idx="18">
                  <c:v>0.32096998695084827</c:v>
                </c:pt>
                <c:pt idx="19">
                  <c:v>0.26948220965637248</c:v>
                </c:pt>
                <c:pt idx="20">
                  <c:v>0.20884319269247509</c:v>
                </c:pt>
                <c:pt idx="21">
                  <c:v>0.36043062200956943</c:v>
                </c:pt>
                <c:pt idx="22">
                  <c:v>0.31144928229665092</c:v>
                </c:pt>
                <c:pt idx="23">
                  <c:v>0.39824706394084403</c:v>
                </c:pt>
                <c:pt idx="24">
                  <c:v>0.34930021748586348</c:v>
                </c:pt>
                <c:pt idx="25">
                  <c:v>0.44209221400608983</c:v>
                </c:pt>
                <c:pt idx="26">
                  <c:v>0.38997181383210117</c:v>
                </c:pt>
                <c:pt idx="27">
                  <c:v>0.31420595911265786</c:v>
                </c:pt>
                <c:pt idx="28">
                  <c:v>0.50785993910395844</c:v>
                </c:pt>
                <c:pt idx="29">
                  <c:v>0.43127838190517642</c:v>
                </c:pt>
                <c:pt idx="30">
                  <c:v>0.55499347542409749</c:v>
                </c:pt>
                <c:pt idx="31">
                  <c:v>0.48501296215745993</c:v>
                </c:pt>
                <c:pt idx="32">
                  <c:v>0.60760765550239237</c:v>
                </c:pt>
                <c:pt idx="33">
                  <c:v>0.51519656372335809</c:v>
                </c:pt>
                <c:pt idx="34">
                  <c:v>0.53996646367986101</c:v>
                </c:pt>
                <c:pt idx="35">
                  <c:v>0.47236859504132256</c:v>
                </c:pt>
                <c:pt idx="36">
                  <c:v>0.41434620984594561</c:v>
                </c:pt>
                <c:pt idx="37">
                  <c:v>0.60474861888047438</c:v>
                </c:pt>
                <c:pt idx="38">
                  <c:v>0.68719229004184867</c:v>
                </c:pt>
                <c:pt idx="39">
                  <c:v>0.8013484123531972</c:v>
                </c:pt>
                <c:pt idx="40">
                  <c:v>0.69779869508481951</c:v>
                </c:pt>
                <c:pt idx="41">
                  <c:v>0.59986220095693787</c:v>
                </c:pt>
                <c:pt idx="42">
                  <c:v>0.52542983906046137</c:v>
                </c:pt>
                <c:pt idx="43">
                  <c:v>0.45614644096473511</c:v>
                </c:pt>
                <c:pt idx="44">
                  <c:v>0.95480643758155737</c:v>
                </c:pt>
                <c:pt idx="45">
                  <c:v>0.87625158764680311</c:v>
                </c:pt>
                <c:pt idx="46">
                  <c:v>1.0233144845585038</c:v>
                </c:pt>
                <c:pt idx="47">
                  <c:v>0.97546994345367577</c:v>
                </c:pt>
                <c:pt idx="48">
                  <c:v>0.89094275772074827</c:v>
                </c:pt>
                <c:pt idx="49">
                  <c:v>0.83441226620269693</c:v>
                </c:pt>
                <c:pt idx="50">
                  <c:v>0.75000243584167059</c:v>
                </c:pt>
                <c:pt idx="51">
                  <c:v>0.62141051816281967</c:v>
                </c:pt>
                <c:pt idx="52">
                  <c:v>0.54575802435879273</c:v>
                </c:pt>
                <c:pt idx="53">
                  <c:v>1.2735058721183128</c:v>
                </c:pt>
                <c:pt idx="54">
                  <c:v>1.1436028708133976</c:v>
                </c:pt>
                <c:pt idx="55">
                  <c:v>0.98707177033492832</c:v>
                </c:pt>
                <c:pt idx="56">
                  <c:v>1.3918877772944762</c:v>
                </c:pt>
                <c:pt idx="57">
                  <c:v>1.287288908220966</c:v>
                </c:pt>
                <c:pt idx="58">
                  <c:v>1.4708090474119186</c:v>
                </c:pt>
                <c:pt idx="59">
                  <c:v>1.3417762940408875</c:v>
                </c:pt>
                <c:pt idx="60">
                  <c:v>1.5497303175293606</c:v>
                </c:pt>
                <c:pt idx="61">
                  <c:v>1.4207496302740323</c:v>
                </c:pt>
                <c:pt idx="62">
                  <c:v>1.2556871248368859</c:v>
                </c:pt>
                <c:pt idx="63">
                  <c:v>1.6321320574162679</c:v>
                </c:pt>
                <c:pt idx="64">
                  <c:v>1.5143753371030888</c:v>
                </c:pt>
                <c:pt idx="65">
                  <c:v>1.7470334928229667</c:v>
                </c:pt>
                <c:pt idx="66">
                  <c:v>1.6167288386254892</c:v>
                </c:pt>
                <c:pt idx="67">
                  <c:v>1.6650712918660291</c:v>
                </c:pt>
                <c:pt idx="68">
                  <c:v>1.5694870378425403</c:v>
                </c:pt>
                <c:pt idx="69">
                  <c:v>1.4418396259243151</c:v>
                </c:pt>
                <c:pt idx="70">
                  <c:v>1.9572161809482387</c:v>
                </c:pt>
                <c:pt idx="71">
                  <c:v>1.9757654632448891</c:v>
                </c:pt>
                <c:pt idx="72">
                  <c:v>1.8468469769464986</c:v>
                </c:pt>
                <c:pt idx="73">
                  <c:v>1.6990491518051325</c:v>
                </c:pt>
                <c:pt idx="74">
                  <c:v>1.5318430622009571</c:v>
                </c:pt>
                <c:pt idx="75">
                  <c:v>1.3622082644628102</c:v>
                </c:pt>
                <c:pt idx="76">
                  <c:v>1.2063798948159281</c:v>
                </c:pt>
                <c:pt idx="77">
                  <c:v>2.16</c:v>
                </c:pt>
                <c:pt idx="78">
                  <c:v>1.9693471074380167</c:v>
                </c:pt>
                <c:pt idx="79">
                  <c:v>2.16</c:v>
                </c:pt>
                <c:pt idx="80">
                  <c:v>1.9764727272727274</c:v>
                </c:pt>
                <c:pt idx="81">
                  <c:v>2.16</c:v>
                </c:pt>
                <c:pt idx="82">
                  <c:v>1.9753090909090911</c:v>
                </c:pt>
                <c:pt idx="83">
                  <c:v>1.8011652892561985</c:v>
                </c:pt>
                <c:pt idx="84">
                  <c:v>2.16</c:v>
                </c:pt>
                <c:pt idx="85">
                  <c:v>1.9673256198347109</c:v>
                </c:pt>
                <c:pt idx="86">
                  <c:v>1.8883669421487603</c:v>
                </c:pt>
                <c:pt idx="87">
                  <c:v>1.7330942148760331</c:v>
                </c:pt>
                <c:pt idx="88">
                  <c:v>2.16</c:v>
                </c:pt>
                <c:pt idx="89">
                  <c:v>1.972520661157025</c:v>
                </c:pt>
                <c:pt idx="90">
                  <c:v>1.788925619834711</c:v>
                </c:pt>
                <c:pt idx="91">
                  <c:v>2.16</c:v>
                </c:pt>
                <c:pt idx="92">
                  <c:v>2.0083272727272727</c:v>
                </c:pt>
                <c:pt idx="93">
                  <c:v>2.16</c:v>
                </c:pt>
                <c:pt idx="94">
                  <c:v>1.9344380165289259</c:v>
                </c:pt>
                <c:pt idx="95">
                  <c:v>2.16</c:v>
                </c:pt>
                <c:pt idx="96">
                  <c:v>2.0400991735537191</c:v>
                </c:pt>
                <c:pt idx="97">
                  <c:v>1.9477752066115706</c:v>
                </c:pt>
                <c:pt idx="98">
                  <c:v>2.16</c:v>
                </c:pt>
                <c:pt idx="99">
                  <c:v>2.0646297520661157</c:v>
                </c:pt>
                <c:pt idx="100">
                  <c:v>2.16</c:v>
                </c:pt>
                <c:pt idx="101">
                  <c:v>2.0635537190082647</c:v>
                </c:pt>
                <c:pt idx="102">
                  <c:v>2.16</c:v>
                </c:pt>
                <c:pt idx="103">
                  <c:v>2.0774206611570247</c:v>
                </c:pt>
                <c:pt idx="104">
                  <c:v>2.0116884297520663</c:v>
                </c:pt>
                <c:pt idx="105">
                  <c:v>2.16</c:v>
                </c:pt>
                <c:pt idx="106">
                  <c:v>2.16</c:v>
                </c:pt>
                <c:pt idx="107">
                  <c:v>2.16</c:v>
                </c:pt>
                <c:pt idx="108">
                  <c:v>2.1337586776859507</c:v>
                </c:pt>
                <c:pt idx="109">
                  <c:v>2.0936950413223143</c:v>
                </c:pt>
                <c:pt idx="110">
                  <c:v>2.0533264462809919</c:v>
                </c:pt>
                <c:pt idx="111">
                  <c:v>2.0130495867768596</c:v>
                </c:pt>
                <c:pt idx="112">
                  <c:v>2.16</c:v>
                </c:pt>
                <c:pt idx="113">
                  <c:v>2.1220760330578514</c:v>
                </c:pt>
                <c:pt idx="114">
                  <c:v>2.16</c:v>
                </c:pt>
                <c:pt idx="115">
                  <c:v>2.1260330578512399</c:v>
                </c:pt>
                <c:pt idx="116">
                  <c:v>2.16</c:v>
                </c:pt>
                <c:pt idx="117">
                  <c:v>2.1211438016528925</c:v>
                </c:pt>
                <c:pt idx="118">
                  <c:v>2.0832396694214879</c:v>
                </c:pt>
                <c:pt idx="119">
                  <c:v>2.16</c:v>
                </c:pt>
                <c:pt idx="120">
                  <c:v>2.1300000000000003</c:v>
                </c:pt>
              </c:numCache>
            </c:numRef>
          </c:yVal>
          <c:smooth val="0"/>
          <c:extLst>
            <c:ext xmlns:c16="http://schemas.microsoft.com/office/drawing/2014/chart" uri="{C3380CC4-5D6E-409C-BE32-E72D297353CC}">
              <c16:uniqueId val="{00000004-2E49-4EA2-A09B-C3745B30A343}"/>
            </c:ext>
          </c:extLst>
        </c:ser>
        <c:ser>
          <c:idx val="6"/>
          <c:order val="5"/>
          <c:tx>
            <c:v>Management Allowed Deficit (MAD)</c:v>
          </c:tx>
          <c:spPr>
            <a:ln w="41275" cap="rnd">
              <a:solidFill>
                <a:schemeClr val="bg1">
                  <a:lumMod val="50000"/>
                </a:schemeClr>
              </a:solidFill>
              <a:prstDash val="dash"/>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8'!$AN$11:$AN$131</c:f>
              <c:numCache>
                <c:formatCode>0.00</c:formatCode>
                <c:ptCount val="121"/>
                <c:pt idx="0">
                  <c:v>0.189</c:v>
                </c:pt>
                <c:pt idx="1">
                  <c:v>0.189</c:v>
                </c:pt>
                <c:pt idx="2">
                  <c:v>0.189</c:v>
                </c:pt>
                <c:pt idx="3">
                  <c:v>0.189</c:v>
                </c:pt>
                <c:pt idx="4">
                  <c:v>0.189</c:v>
                </c:pt>
                <c:pt idx="5">
                  <c:v>0.189</c:v>
                </c:pt>
                <c:pt idx="6">
                  <c:v>0.189</c:v>
                </c:pt>
                <c:pt idx="7">
                  <c:v>0.189</c:v>
                </c:pt>
                <c:pt idx="8">
                  <c:v>0.189</c:v>
                </c:pt>
                <c:pt idx="9">
                  <c:v>0.189</c:v>
                </c:pt>
                <c:pt idx="10">
                  <c:v>0.189</c:v>
                </c:pt>
                <c:pt idx="11">
                  <c:v>0.189</c:v>
                </c:pt>
                <c:pt idx="12">
                  <c:v>0.189</c:v>
                </c:pt>
                <c:pt idx="13">
                  <c:v>0.189</c:v>
                </c:pt>
                <c:pt idx="14">
                  <c:v>0.189</c:v>
                </c:pt>
                <c:pt idx="15">
                  <c:v>0.19705654632448891</c:v>
                </c:pt>
                <c:pt idx="16">
                  <c:v>0.20626402783819053</c:v>
                </c:pt>
                <c:pt idx="17">
                  <c:v>0.21547150935189213</c:v>
                </c:pt>
                <c:pt idx="18">
                  <c:v>0.22467899086559379</c:v>
                </c:pt>
                <c:pt idx="19">
                  <c:v>0.23388647237929544</c:v>
                </c:pt>
                <c:pt idx="20">
                  <c:v>0.24309395389299704</c:v>
                </c:pt>
                <c:pt idx="21">
                  <c:v>0.25230143540669858</c:v>
                </c:pt>
                <c:pt idx="22">
                  <c:v>0.26342714223575481</c:v>
                </c:pt>
                <c:pt idx="23">
                  <c:v>0.27877294475859082</c:v>
                </c:pt>
                <c:pt idx="24">
                  <c:v>0.29411874728142678</c:v>
                </c:pt>
                <c:pt idx="25">
                  <c:v>0.30946454980426286</c:v>
                </c:pt>
                <c:pt idx="26">
                  <c:v>0.32481035232709893</c:v>
                </c:pt>
                <c:pt idx="27">
                  <c:v>0.34015615484993489</c:v>
                </c:pt>
                <c:pt idx="28">
                  <c:v>0.3555019573727709</c:v>
                </c:pt>
                <c:pt idx="29">
                  <c:v>0.37084775989560698</c:v>
                </c:pt>
                <c:pt idx="30">
                  <c:v>0.38849543279686827</c:v>
                </c:pt>
                <c:pt idx="31">
                  <c:v>0.40691039582427158</c:v>
                </c:pt>
                <c:pt idx="32">
                  <c:v>0.42532535885167466</c:v>
                </c:pt>
                <c:pt idx="33">
                  <c:v>0.44374032187907797</c:v>
                </c:pt>
                <c:pt idx="34">
                  <c:v>0.46215528490648128</c:v>
                </c:pt>
                <c:pt idx="35">
                  <c:v>0.48057024793388448</c:v>
                </c:pt>
                <c:pt idx="36">
                  <c:v>0.49898521096128767</c:v>
                </c:pt>
                <c:pt idx="37">
                  <c:v>0.51797564158329723</c:v>
                </c:pt>
                <c:pt idx="38">
                  <c:v>0.5394597651152675</c:v>
                </c:pt>
                <c:pt idx="39">
                  <c:v>0.56094388864723799</c:v>
                </c:pt>
                <c:pt idx="40">
                  <c:v>0.58242801217920837</c:v>
                </c:pt>
                <c:pt idx="41">
                  <c:v>0.60391213571117874</c:v>
                </c:pt>
                <c:pt idx="42">
                  <c:v>0.62539625924314945</c:v>
                </c:pt>
                <c:pt idx="43">
                  <c:v>0.64688038277511972</c:v>
                </c:pt>
                <c:pt idx="44">
                  <c:v>0.66836450630709021</c:v>
                </c:pt>
                <c:pt idx="45">
                  <c:v>0.69176685515441505</c:v>
                </c:pt>
                <c:pt idx="46">
                  <c:v>0.71632013919095261</c:v>
                </c:pt>
                <c:pt idx="47">
                  <c:v>0.74087342322749039</c:v>
                </c:pt>
                <c:pt idx="48">
                  <c:v>0.76542670726402795</c:v>
                </c:pt>
                <c:pt idx="49">
                  <c:v>0.78997999130056551</c:v>
                </c:pt>
                <c:pt idx="50">
                  <c:v>0.81453327533710329</c:v>
                </c:pt>
                <c:pt idx="51">
                  <c:v>0.83908655937364096</c:v>
                </c:pt>
                <c:pt idx="52">
                  <c:v>0.86383166594171412</c:v>
                </c:pt>
                <c:pt idx="53">
                  <c:v>0.89145411048281897</c:v>
                </c:pt>
                <c:pt idx="54">
                  <c:v>0.91907655502392382</c:v>
                </c:pt>
                <c:pt idx="55">
                  <c:v>0.94669899956502834</c:v>
                </c:pt>
                <c:pt idx="56">
                  <c:v>0.97432144410613342</c:v>
                </c:pt>
                <c:pt idx="57">
                  <c:v>1.0019438886472383</c:v>
                </c:pt>
                <c:pt idx="58">
                  <c:v>1.0295663331883431</c:v>
                </c:pt>
                <c:pt idx="59">
                  <c:v>1.0571887777294477</c:v>
                </c:pt>
                <c:pt idx="60">
                  <c:v>1.0848112222705524</c:v>
                </c:pt>
                <c:pt idx="61">
                  <c:v>1.1124336668116572</c:v>
                </c:pt>
                <c:pt idx="62">
                  <c:v>1.1400561113527623</c:v>
                </c:pt>
                <c:pt idx="63">
                  <c:v>1.1676785558938669</c:v>
                </c:pt>
                <c:pt idx="64">
                  <c:v>1.195301000434972</c:v>
                </c:pt>
                <c:pt idx="65">
                  <c:v>1.2229234449760766</c:v>
                </c:pt>
                <c:pt idx="66">
                  <c:v>1.2505458895171813</c:v>
                </c:pt>
                <c:pt idx="67">
                  <c:v>1.2781683340582863</c:v>
                </c:pt>
                <c:pt idx="68">
                  <c:v>1.3086681165724228</c:v>
                </c:pt>
                <c:pt idx="69">
                  <c:v>1.339359721618095</c:v>
                </c:pt>
                <c:pt idx="70">
                  <c:v>1.3700513266637671</c:v>
                </c:pt>
                <c:pt idx="71">
                  <c:v>1.4007429317094391</c:v>
                </c:pt>
                <c:pt idx="72">
                  <c:v>1.4314345367551109</c:v>
                </c:pt>
                <c:pt idx="73">
                  <c:v>1.4621261418007829</c:v>
                </c:pt>
                <c:pt idx="74">
                  <c:v>1.4928177468464552</c:v>
                </c:pt>
                <c:pt idx="75">
                  <c:v>1.512</c:v>
                </c:pt>
                <c:pt idx="76">
                  <c:v>1.512</c:v>
                </c:pt>
                <c:pt idx="77">
                  <c:v>1.512</c:v>
                </c:pt>
                <c:pt idx="78">
                  <c:v>1.512</c:v>
                </c:pt>
                <c:pt idx="79">
                  <c:v>1.512</c:v>
                </c:pt>
                <c:pt idx="80">
                  <c:v>1.512</c:v>
                </c:pt>
                <c:pt idx="81">
                  <c:v>1.512</c:v>
                </c:pt>
                <c:pt idx="82">
                  <c:v>1.512</c:v>
                </c:pt>
                <c:pt idx="83">
                  <c:v>1.512</c:v>
                </c:pt>
                <c:pt idx="84">
                  <c:v>1.512</c:v>
                </c:pt>
                <c:pt idx="85">
                  <c:v>1.512</c:v>
                </c:pt>
                <c:pt idx="86">
                  <c:v>1.512</c:v>
                </c:pt>
                <c:pt idx="87">
                  <c:v>1.512</c:v>
                </c:pt>
                <c:pt idx="88">
                  <c:v>1.512</c:v>
                </c:pt>
                <c:pt idx="89">
                  <c:v>1.512</c:v>
                </c:pt>
                <c:pt idx="90">
                  <c:v>1.512</c:v>
                </c:pt>
                <c:pt idx="91">
                  <c:v>1.512</c:v>
                </c:pt>
                <c:pt idx="92">
                  <c:v>1.512</c:v>
                </c:pt>
                <c:pt idx="93">
                  <c:v>1.512</c:v>
                </c:pt>
                <c:pt idx="94">
                  <c:v>1.512</c:v>
                </c:pt>
                <c:pt idx="95">
                  <c:v>1.512</c:v>
                </c:pt>
                <c:pt idx="96">
                  <c:v>1.512</c:v>
                </c:pt>
                <c:pt idx="97">
                  <c:v>1.512</c:v>
                </c:pt>
                <c:pt idx="98">
                  <c:v>1.512</c:v>
                </c:pt>
                <c:pt idx="99">
                  <c:v>1.512</c:v>
                </c:pt>
                <c:pt idx="100">
                  <c:v>1.512</c:v>
                </c:pt>
                <c:pt idx="101">
                  <c:v>1.512</c:v>
                </c:pt>
                <c:pt idx="102">
                  <c:v>1.512</c:v>
                </c:pt>
                <c:pt idx="103">
                  <c:v>1.512</c:v>
                </c:pt>
                <c:pt idx="104">
                  <c:v>1.512</c:v>
                </c:pt>
                <c:pt idx="105">
                  <c:v>1.512</c:v>
                </c:pt>
                <c:pt idx="106">
                  <c:v>1.512</c:v>
                </c:pt>
                <c:pt idx="107">
                  <c:v>1.512</c:v>
                </c:pt>
                <c:pt idx="108">
                  <c:v>1.512</c:v>
                </c:pt>
                <c:pt idx="109">
                  <c:v>1.512</c:v>
                </c:pt>
                <c:pt idx="110">
                  <c:v>1.512</c:v>
                </c:pt>
                <c:pt idx="111">
                  <c:v>1.512</c:v>
                </c:pt>
                <c:pt idx="112">
                  <c:v>1.512</c:v>
                </c:pt>
                <c:pt idx="113">
                  <c:v>1.512</c:v>
                </c:pt>
                <c:pt idx="114">
                  <c:v>1.512</c:v>
                </c:pt>
                <c:pt idx="115">
                  <c:v>1.512</c:v>
                </c:pt>
                <c:pt idx="116">
                  <c:v>1.512</c:v>
                </c:pt>
                <c:pt idx="117">
                  <c:v>1.512</c:v>
                </c:pt>
                <c:pt idx="118">
                  <c:v>1.512</c:v>
                </c:pt>
                <c:pt idx="119">
                  <c:v>1.512</c:v>
                </c:pt>
                <c:pt idx="120">
                  <c:v>1.512</c:v>
                </c:pt>
              </c:numCache>
            </c:numRef>
          </c:yVal>
          <c:smooth val="0"/>
          <c:extLst>
            <c:ext xmlns:c16="http://schemas.microsoft.com/office/drawing/2014/chart" uri="{C3380CC4-5D6E-409C-BE32-E72D297353CC}">
              <c16:uniqueId val="{00000005-2E49-4EA2-A09B-C3745B30A343}"/>
            </c:ext>
          </c:extLst>
        </c:ser>
        <c:dLbls>
          <c:showLegendKey val="0"/>
          <c:showVal val="0"/>
          <c:showCatName val="0"/>
          <c:showSerName val="0"/>
          <c:showPercent val="0"/>
          <c:showBubbleSize val="0"/>
        </c:dLbls>
        <c:axId val="181251072"/>
        <c:axId val="86756736"/>
      </c:scatterChart>
      <c:dateAx>
        <c:axId val="181250560"/>
        <c:scaling>
          <c:orientation val="minMax"/>
        </c:scaling>
        <c:delete val="0"/>
        <c:axPos val="b"/>
        <c:majorGridlines>
          <c:spPr>
            <a:ln w="9525" cap="flat" cmpd="sng" algn="ctr">
              <a:solidFill>
                <a:schemeClr val="bg1">
                  <a:lumMod val="7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86755008"/>
        <c:crosses val="autoZero"/>
        <c:auto val="0"/>
        <c:lblOffset val="100"/>
        <c:baseTimeUnit val="days"/>
      </c:dateAx>
      <c:valAx>
        <c:axId val="86755008"/>
        <c:scaling>
          <c:orientation val="minMax"/>
          <c:max val="240"/>
          <c:min val="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Depth (mm)</a:t>
                </a:r>
              </a:p>
            </c:rich>
          </c:tx>
          <c:layout>
            <c:manualLayout>
              <c:xMode val="edge"/>
              <c:yMode val="edge"/>
              <c:x val="1.2018975778750706E-2"/>
              <c:y val="0.34238161690926844"/>
            </c:manualLayout>
          </c:layout>
          <c:overlay val="0"/>
          <c:spPr>
            <a:noFill/>
            <a:ln>
              <a:noFill/>
            </a:ln>
            <a:effectLst/>
          </c:sp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81250560"/>
        <c:crosses val="autoZero"/>
        <c:crossBetween val="between"/>
        <c:majorUnit val="20"/>
      </c:valAx>
      <c:valAx>
        <c:axId val="86756736"/>
        <c:scaling>
          <c:orientation val="minMax"/>
          <c:max val="9.4500000000000011"/>
          <c:min val="0"/>
        </c:scaling>
        <c:delete val="0"/>
        <c:axPos val="r"/>
        <c:title>
          <c:tx>
            <c:rich>
              <a:bodyPr rot="-5400000" vert="horz"/>
              <a:lstStyle/>
              <a:p>
                <a:pPr>
                  <a:defRPr sz="1400" b="0">
                    <a:latin typeface="Times New Roman" panose="02020603050405020304" pitchFamily="18" charset="0"/>
                    <a:cs typeface="Times New Roman" panose="02020603050405020304" pitchFamily="18" charset="0"/>
                  </a:defRPr>
                </a:pPr>
                <a:r>
                  <a:rPr lang="en-US" sz="1400" b="0">
                    <a:latin typeface="Times New Roman" panose="02020603050405020304" pitchFamily="18" charset="0"/>
                    <a:cs typeface="Times New Roman" panose="02020603050405020304" pitchFamily="18" charset="0"/>
                  </a:rPr>
                  <a:t>Depth (inches)</a:t>
                </a:r>
              </a:p>
            </c:rich>
          </c:tx>
          <c:overlay val="0"/>
        </c:title>
        <c:numFmt formatCode="0" sourceLinked="0"/>
        <c:majorTickMark val="in"/>
        <c:minorTickMark val="none"/>
        <c:tickLblPos val="nextTo"/>
        <c:txPr>
          <a:bodyPr/>
          <a:lstStyle/>
          <a:p>
            <a:pPr>
              <a:defRPr sz="1400">
                <a:latin typeface="Times New Roman" panose="02020603050405020304" pitchFamily="18" charset="0"/>
                <a:cs typeface="Times New Roman" panose="02020603050405020304" pitchFamily="18" charset="0"/>
              </a:defRPr>
            </a:pPr>
            <a:endParaRPr lang="en-US"/>
          </a:p>
        </c:txPr>
        <c:crossAx val="181251072"/>
        <c:crosses val="max"/>
        <c:crossBetween val="between"/>
        <c:majorUnit val="1"/>
      </c:valAx>
      <c:dateAx>
        <c:axId val="181251072"/>
        <c:scaling>
          <c:orientation val="minMax"/>
        </c:scaling>
        <c:delete val="1"/>
        <c:axPos val="b"/>
        <c:numFmt formatCode="m/d/yy;@" sourceLinked="1"/>
        <c:majorTickMark val="out"/>
        <c:minorTickMark val="none"/>
        <c:tickLblPos val="nextTo"/>
        <c:crossAx val="86756736"/>
        <c:crosses val="autoZero"/>
        <c:auto val="0"/>
        <c:lblOffset val="100"/>
        <c:baseTimeUnit val="days"/>
      </c:dateAx>
      <c:spPr>
        <a:noFill/>
        <a:ln w="12700">
          <a:solidFill>
            <a:schemeClr val="bg1">
              <a:lumMod val="75000"/>
            </a:schemeClr>
          </a:solidFill>
        </a:ln>
        <a:effectLst/>
      </c:spPr>
    </c:plotArea>
    <c:legend>
      <c:legendPos val="b"/>
      <c:layout>
        <c:manualLayout>
          <c:xMode val="edge"/>
          <c:yMode val="edge"/>
          <c:x val="0.17358430522996393"/>
          <c:y val="0.88477188821570307"/>
          <c:w val="0.70028526358857945"/>
          <c:h val="9.9723314657038764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800" b="0">
                <a:solidFill>
                  <a:schemeClr val="tx1"/>
                </a:solidFill>
                <a:latin typeface="Times New Roman" panose="02020603050405020304" pitchFamily="18" charset="0"/>
                <a:cs typeface="Times New Roman" panose="02020603050405020304" pitchFamily="18" charset="0"/>
              </a:rPr>
              <a:t>Field V - Cumulative</a:t>
            </a:r>
            <a:r>
              <a:rPr lang="en-US" sz="1800" b="0" baseline="0">
                <a:solidFill>
                  <a:schemeClr val="tx1"/>
                </a:solidFill>
                <a:latin typeface="Times New Roman" panose="02020603050405020304" pitchFamily="18" charset="0"/>
                <a:cs typeface="Times New Roman" panose="02020603050405020304" pitchFamily="18" charset="0"/>
              </a:rPr>
              <a:t> Seasonal Water Balance</a:t>
            </a:r>
            <a:endParaRPr lang="en-US" sz="1800" b="0">
              <a:solidFill>
                <a:schemeClr val="tx1"/>
              </a:solidFill>
              <a:latin typeface="Times New Roman" panose="02020603050405020304" pitchFamily="18" charset="0"/>
              <a:cs typeface="Times New Roman" panose="02020603050405020304" pitchFamily="18" charset="0"/>
            </a:endParaRPr>
          </a:p>
        </c:rich>
      </c:tx>
      <c:layout>
        <c:manualLayout>
          <c:xMode val="edge"/>
          <c:yMode val="edge"/>
          <c:x val="0.27876243553269159"/>
          <c:y val="2.2103521262827341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8.8553515985294304E-2"/>
          <c:y val="9.4671390354999635E-2"/>
          <c:w val="0.86649508294685429"/>
          <c:h val="0.73852643555793818"/>
        </c:manualLayout>
      </c:layout>
      <c:scatterChart>
        <c:scatterStyle val="lineMarker"/>
        <c:varyColors val="0"/>
        <c:ser>
          <c:idx val="0"/>
          <c:order val="0"/>
          <c:tx>
            <c:v>Total Irrigation</c:v>
          </c:tx>
          <c:spPr>
            <a:ln w="34925" cap="rnd">
              <a:solidFill>
                <a:srgbClr val="57FB31"/>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8'!$T$11:$T$131</c:f>
              <c:numCache>
                <c:formatCode>0.00</c:formatCode>
                <c:ptCount val="121"/>
                <c:pt idx="0">
                  <c:v>8.7096774193548416</c:v>
                </c:pt>
                <c:pt idx="1">
                  <c:v>8.7096774193548416</c:v>
                </c:pt>
                <c:pt idx="2">
                  <c:v>14.43082589074058</c:v>
                </c:pt>
                <c:pt idx="3">
                  <c:v>14.43082589074058</c:v>
                </c:pt>
                <c:pt idx="4">
                  <c:v>14.43082589074058</c:v>
                </c:pt>
                <c:pt idx="5">
                  <c:v>14.43082589074058</c:v>
                </c:pt>
                <c:pt idx="6">
                  <c:v>14.43082589074058</c:v>
                </c:pt>
                <c:pt idx="7">
                  <c:v>22.381221345503548</c:v>
                </c:pt>
                <c:pt idx="8">
                  <c:v>22.381221345503548</c:v>
                </c:pt>
                <c:pt idx="9">
                  <c:v>27.279698638752247</c:v>
                </c:pt>
                <c:pt idx="10">
                  <c:v>27.279698638752247</c:v>
                </c:pt>
                <c:pt idx="11">
                  <c:v>27.279698638752247</c:v>
                </c:pt>
                <c:pt idx="12">
                  <c:v>27.279698638752247</c:v>
                </c:pt>
                <c:pt idx="13">
                  <c:v>27.279698638752247</c:v>
                </c:pt>
                <c:pt idx="14">
                  <c:v>35.546281148466505</c:v>
                </c:pt>
                <c:pt idx="15">
                  <c:v>35.546281148466505</c:v>
                </c:pt>
                <c:pt idx="16">
                  <c:v>40.246567237923507</c:v>
                </c:pt>
                <c:pt idx="17">
                  <c:v>40.246567237923507</c:v>
                </c:pt>
                <c:pt idx="18">
                  <c:v>45.34625704142141</c:v>
                </c:pt>
                <c:pt idx="19">
                  <c:v>45.34625704142141</c:v>
                </c:pt>
                <c:pt idx="20">
                  <c:v>45.34625704142141</c:v>
                </c:pt>
                <c:pt idx="21">
                  <c:v>52.10397986041135</c:v>
                </c:pt>
                <c:pt idx="22">
                  <c:v>52.10397986041135</c:v>
                </c:pt>
                <c:pt idx="23">
                  <c:v>56.417078100781133</c:v>
                </c:pt>
                <c:pt idx="24">
                  <c:v>56.417078100781133</c:v>
                </c:pt>
                <c:pt idx="25">
                  <c:v>60.922226646774426</c:v>
                </c:pt>
                <c:pt idx="26">
                  <c:v>60.922226646774426</c:v>
                </c:pt>
                <c:pt idx="27">
                  <c:v>60.922226646774426</c:v>
                </c:pt>
                <c:pt idx="28">
                  <c:v>66.420760371114611</c:v>
                </c:pt>
                <c:pt idx="29">
                  <c:v>66.420760371114611</c:v>
                </c:pt>
                <c:pt idx="30">
                  <c:v>70.359160637640429</c:v>
                </c:pt>
                <c:pt idx="31">
                  <c:v>70.359160637640429</c:v>
                </c:pt>
                <c:pt idx="32">
                  <c:v>74.483330692674983</c:v>
                </c:pt>
                <c:pt idx="33">
                  <c:v>74.483330692674983</c:v>
                </c:pt>
                <c:pt idx="34">
                  <c:v>74.483330692674983</c:v>
                </c:pt>
                <c:pt idx="35">
                  <c:v>74.483330692674983</c:v>
                </c:pt>
                <c:pt idx="36">
                  <c:v>74.483330692674983</c:v>
                </c:pt>
                <c:pt idx="37">
                  <c:v>74.483330692674983</c:v>
                </c:pt>
                <c:pt idx="38">
                  <c:v>74.483330692674983</c:v>
                </c:pt>
                <c:pt idx="39">
                  <c:v>78.239157336172511</c:v>
                </c:pt>
                <c:pt idx="40">
                  <c:v>78.239157336172511</c:v>
                </c:pt>
                <c:pt idx="41">
                  <c:v>78.239157336172511</c:v>
                </c:pt>
                <c:pt idx="42">
                  <c:v>78.239157336172511</c:v>
                </c:pt>
                <c:pt idx="43">
                  <c:v>78.239157336172511</c:v>
                </c:pt>
                <c:pt idx="44">
                  <c:v>82.363327391207093</c:v>
                </c:pt>
                <c:pt idx="45">
                  <c:v>82.363327391207093</c:v>
                </c:pt>
                <c:pt idx="46">
                  <c:v>86.676425631576848</c:v>
                </c:pt>
                <c:pt idx="47">
                  <c:v>86.676425631576848</c:v>
                </c:pt>
                <c:pt idx="48">
                  <c:v>86.676425631576848</c:v>
                </c:pt>
                <c:pt idx="49">
                  <c:v>86.676425631576848</c:v>
                </c:pt>
                <c:pt idx="50">
                  <c:v>86.676425631576848</c:v>
                </c:pt>
                <c:pt idx="51">
                  <c:v>86.676425631576848</c:v>
                </c:pt>
                <c:pt idx="52">
                  <c:v>86.676425631576848</c:v>
                </c:pt>
                <c:pt idx="53">
                  <c:v>90.80059568661143</c:v>
                </c:pt>
                <c:pt idx="54">
                  <c:v>90.80059568661143</c:v>
                </c:pt>
                <c:pt idx="55">
                  <c:v>90.80059568661143</c:v>
                </c:pt>
                <c:pt idx="56">
                  <c:v>97.37329231273209</c:v>
                </c:pt>
                <c:pt idx="57">
                  <c:v>97.37329231273209</c:v>
                </c:pt>
                <c:pt idx="58">
                  <c:v>101.31169257925792</c:v>
                </c:pt>
                <c:pt idx="59">
                  <c:v>101.31169257925792</c:v>
                </c:pt>
                <c:pt idx="60">
                  <c:v>105.62479081962771</c:v>
                </c:pt>
                <c:pt idx="61">
                  <c:v>105.62479081962771</c:v>
                </c:pt>
                <c:pt idx="62">
                  <c:v>105.62479081962771</c:v>
                </c:pt>
                <c:pt idx="63">
                  <c:v>105.62479081962771</c:v>
                </c:pt>
                <c:pt idx="64">
                  <c:v>105.62479081962771</c:v>
                </c:pt>
                <c:pt idx="65">
                  <c:v>109.74896087466225</c:v>
                </c:pt>
                <c:pt idx="66">
                  <c:v>109.74896087466225</c:v>
                </c:pt>
                <c:pt idx="67">
                  <c:v>109.74896087466225</c:v>
                </c:pt>
                <c:pt idx="68">
                  <c:v>109.74896087466225</c:v>
                </c:pt>
                <c:pt idx="69">
                  <c:v>109.74896087466225</c:v>
                </c:pt>
                <c:pt idx="70">
                  <c:v>117.25754178465108</c:v>
                </c:pt>
                <c:pt idx="71">
                  <c:v>117.25754178465108</c:v>
                </c:pt>
                <c:pt idx="72">
                  <c:v>117.25754178465108</c:v>
                </c:pt>
                <c:pt idx="73">
                  <c:v>117.25754178465108</c:v>
                </c:pt>
                <c:pt idx="74">
                  <c:v>117.25754178465108</c:v>
                </c:pt>
                <c:pt idx="75">
                  <c:v>117.25754178465108</c:v>
                </c:pt>
                <c:pt idx="76">
                  <c:v>117.25754178465108</c:v>
                </c:pt>
                <c:pt idx="77">
                  <c:v>124.81852021888109</c:v>
                </c:pt>
                <c:pt idx="78">
                  <c:v>124.81852021888109</c:v>
                </c:pt>
                <c:pt idx="79">
                  <c:v>128.94269027391564</c:v>
                </c:pt>
                <c:pt idx="80">
                  <c:v>128.94269027391564</c:v>
                </c:pt>
                <c:pt idx="81">
                  <c:v>132.69851691741314</c:v>
                </c:pt>
                <c:pt idx="82">
                  <c:v>132.69851691741314</c:v>
                </c:pt>
                <c:pt idx="83">
                  <c:v>132.69851691741314</c:v>
                </c:pt>
                <c:pt idx="84">
                  <c:v>139.88701398469615</c:v>
                </c:pt>
                <c:pt idx="85">
                  <c:v>139.88701398469615</c:v>
                </c:pt>
                <c:pt idx="86">
                  <c:v>139.88701398469615</c:v>
                </c:pt>
                <c:pt idx="87">
                  <c:v>139.88701398469615</c:v>
                </c:pt>
                <c:pt idx="88">
                  <c:v>143.64284062819365</c:v>
                </c:pt>
                <c:pt idx="89">
                  <c:v>143.64284062819365</c:v>
                </c:pt>
                <c:pt idx="90">
                  <c:v>143.64284062819365</c:v>
                </c:pt>
                <c:pt idx="91">
                  <c:v>145.52075394994242</c:v>
                </c:pt>
                <c:pt idx="92">
                  <c:v>145.52075394994242</c:v>
                </c:pt>
                <c:pt idx="93">
                  <c:v>149.27658059343995</c:v>
                </c:pt>
                <c:pt idx="94">
                  <c:v>149.27658059343995</c:v>
                </c:pt>
                <c:pt idx="95">
                  <c:v>153.0324072369375</c:v>
                </c:pt>
                <c:pt idx="96">
                  <c:v>153.0324072369375</c:v>
                </c:pt>
                <c:pt idx="97">
                  <c:v>153.0324072369375</c:v>
                </c:pt>
                <c:pt idx="98">
                  <c:v>160.54406052393259</c:v>
                </c:pt>
                <c:pt idx="99">
                  <c:v>160.54406052393259</c:v>
                </c:pt>
                <c:pt idx="100">
                  <c:v>164.29988716743009</c:v>
                </c:pt>
                <c:pt idx="101">
                  <c:v>164.29988716743009</c:v>
                </c:pt>
                <c:pt idx="102">
                  <c:v>168.05571381092761</c:v>
                </c:pt>
                <c:pt idx="103">
                  <c:v>168.05571381092761</c:v>
                </c:pt>
                <c:pt idx="104">
                  <c:v>168.05571381092761</c:v>
                </c:pt>
                <c:pt idx="105">
                  <c:v>173.42044664311695</c:v>
                </c:pt>
                <c:pt idx="106">
                  <c:v>173.42044664311695</c:v>
                </c:pt>
                <c:pt idx="107">
                  <c:v>173.42044664311695</c:v>
                </c:pt>
                <c:pt idx="108">
                  <c:v>173.42044664311695</c:v>
                </c:pt>
                <c:pt idx="109">
                  <c:v>173.42044664311695</c:v>
                </c:pt>
                <c:pt idx="110">
                  <c:v>173.42044664311695</c:v>
                </c:pt>
                <c:pt idx="111">
                  <c:v>173.42044664311695</c:v>
                </c:pt>
                <c:pt idx="112">
                  <c:v>177.17627328661445</c:v>
                </c:pt>
                <c:pt idx="113">
                  <c:v>177.17627328661445</c:v>
                </c:pt>
                <c:pt idx="114">
                  <c:v>180.93140525142385</c:v>
                </c:pt>
                <c:pt idx="115">
                  <c:v>180.93140525142385</c:v>
                </c:pt>
                <c:pt idx="116">
                  <c:v>184.68723189492138</c:v>
                </c:pt>
                <c:pt idx="117">
                  <c:v>184.68723189492138</c:v>
                </c:pt>
                <c:pt idx="118">
                  <c:v>184.68723189492138</c:v>
                </c:pt>
                <c:pt idx="119">
                  <c:v>188.26372044971427</c:v>
                </c:pt>
                <c:pt idx="120">
                  <c:v>188.26372044971427</c:v>
                </c:pt>
              </c:numCache>
            </c:numRef>
          </c:yVal>
          <c:smooth val="0"/>
          <c:extLst>
            <c:ext xmlns:c16="http://schemas.microsoft.com/office/drawing/2014/chart" uri="{C3380CC4-5D6E-409C-BE32-E72D297353CC}">
              <c16:uniqueId val="{00000000-1127-497D-96CC-98DED9DDE002}"/>
            </c:ext>
          </c:extLst>
        </c:ser>
        <c:ser>
          <c:idx val="1"/>
          <c:order val="1"/>
          <c:tx>
            <c:v>Total ET</c:v>
          </c:tx>
          <c:spPr>
            <a:ln w="31750" cap="rnd">
              <a:solidFill>
                <a:srgbClr val="7030A0"/>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8'!$AG$11:$AG$131</c:f>
              <c:numCache>
                <c:formatCode>0.00</c:formatCode>
                <c:ptCount val="121"/>
                <c:pt idx="0">
                  <c:v>4.7500000000000001E-2</c:v>
                </c:pt>
                <c:pt idx="1">
                  <c:v>0.08</c:v>
                </c:pt>
                <c:pt idx="2">
                  <c:v>0.11</c:v>
                </c:pt>
                <c:pt idx="3">
                  <c:v>0.13</c:v>
                </c:pt>
                <c:pt idx="4">
                  <c:v>0.1525</c:v>
                </c:pt>
                <c:pt idx="5">
                  <c:v>0.1825</c:v>
                </c:pt>
                <c:pt idx="6">
                  <c:v>0.21</c:v>
                </c:pt>
                <c:pt idx="7">
                  <c:v>0.23473544973544974</c:v>
                </c:pt>
                <c:pt idx="8">
                  <c:v>0.26223544973544977</c:v>
                </c:pt>
                <c:pt idx="9">
                  <c:v>0.29973544973544974</c:v>
                </c:pt>
                <c:pt idx="10">
                  <c:v>0.36473544973544975</c:v>
                </c:pt>
                <c:pt idx="11">
                  <c:v>0.42973544973544975</c:v>
                </c:pt>
                <c:pt idx="12">
                  <c:v>0.49723544973544975</c:v>
                </c:pt>
                <c:pt idx="13">
                  <c:v>0.5427050264550265</c:v>
                </c:pt>
                <c:pt idx="14">
                  <c:v>0.58531170389966691</c:v>
                </c:pt>
                <c:pt idx="15">
                  <c:v>0.65881831546991487</c:v>
                </c:pt>
                <c:pt idx="16">
                  <c:v>0.73604972042859251</c:v>
                </c:pt>
                <c:pt idx="17">
                  <c:v>0.81969930720545203</c:v>
                </c:pt>
                <c:pt idx="18">
                  <c:v>0.90461831546991489</c:v>
                </c:pt>
                <c:pt idx="19">
                  <c:v>0.96925963778396451</c:v>
                </c:pt>
                <c:pt idx="20">
                  <c:v>1.0430521997674356</c:v>
                </c:pt>
                <c:pt idx="21">
                  <c:v>1.1064840490990895</c:v>
                </c:pt>
                <c:pt idx="22">
                  <c:v>1.1713592557106598</c:v>
                </c:pt>
                <c:pt idx="23">
                  <c:v>1.240641900338759</c:v>
                </c:pt>
                <c:pt idx="24">
                  <c:v>1.3115113218263623</c:v>
                </c:pt>
                <c:pt idx="25">
                  <c:v>1.3839675201734698</c:v>
                </c:pt>
                <c:pt idx="26">
                  <c:v>1.4580104953800814</c:v>
                </c:pt>
                <c:pt idx="27">
                  <c:v>1.5556989251321476</c:v>
                </c:pt>
                <c:pt idx="28">
                  <c:v>1.6500016219222873</c:v>
                </c:pt>
                <c:pt idx="29">
                  <c:v>1.7485057541536921</c:v>
                </c:pt>
                <c:pt idx="30">
                  <c:v>1.8492908781206343</c:v>
                </c:pt>
                <c:pt idx="31">
                  <c:v>1.9455784814264194</c:v>
                </c:pt>
                <c:pt idx="32">
                  <c:v>2.0476057541536923</c:v>
                </c:pt>
                <c:pt idx="33">
                  <c:v>2.166323935971874</c:v>
                </c:pt>
                <c:pt idx="34">
                  <c:v>2.2398611260545187</c:v>
                </c:pt>
                <c:pt idx="35">
                  <c:v>2.3337660847322046</c:v>
                </c:pt>
                <c:pt idx="36">
                  <c:v>2.4180955599667291</c:v>
                </c:pt>
                <c:pt idx="37">
                  <c:v>2.4548223375350711</c:v>
                </c:pt>
                <c:pt idx="38">
                  <c:v>2.5550702714193685</c:v>
                </c:pt>
                <c:pt idx="39">
                  <c:v>2.6822471309235008</c:v>
                </c:pt>
                <c:pt idx="40">
                  <c:v>2.8164884532375503</c:v>
                </c:pt>
                <c:pt idx="41">
                  <c:v>2.945116552411104</c:v>
                </c:pt>
                <c:pt idx="42">
                  <c:v>3.0502405193532529</c:v>
                </c:pt>
                <c:pt idx="43">
                  <c:v>3.1502155224946509</c:v>
                </c:pt>
                <c:pt idx="44">
                  <c:v>3.2233735710739868</c:v>
                </c:pt>
                <c:pt idx="45">
                  <c:v>3.335360347933491</c:v>
                </c:pt>
                <c:pt idx="46">
                  <c:v>3.4117107611566313</c:v>
                </c:pt>
                <c:pt idx="47">
                  <c:v>3.4946314223136561</c:v>
                </c:pt>
                <c:pt idx="48">
                  <c:v>3.6142347280987801</c:v>
                </c:pt>
                <c:pt idx="49">
                  <c:v>3.705841339669028</c:v>
                </c:pt>
                <c:pt idx="50">
                  <c:v>3.8253272900822513</c:v>
                </c:pt>
                <c:pt idx="51">
                  <c:v>3.9889953278132988</c:v>
                </c:pt>
                <c:pt idx="52">
                  <c:v>4.0999979738574304</c:v>
                </c:pt>
                <c:pt idx="53">
                  <c:v>4.2088374344378483</c:v>
                </c:pt>
                <c:pt idx="54">
                  <c:v>4.3782010708014845</c:v>
                </c:pt>
                <c:pt idx="55">
                  <c:v>4.5741928063386741</c:v>
                </c:pt>
                <c:pt idx="56">
                  <c:v>4.6742118146031366</c:v>
                </c:pt>
                <c:pt idx="57">
                  <c:v>4.8182713187353681</c:v>
                </c:pt>
                <c:pt idx="58">
                  <c:v>4.9713085088180131</c:v>
                </c:pt>
                <c:pt idx="59">
                  <c:v>5.1398018972477653</c:v>
                </c:pt>
                <c:pt idx="60">
                  <c:v>5.3115085088180134</c:v>
                </c:pt>
                <c:pt idx="61">
                  <c:v>5.4799498311320631</c:v>
                </c:pt>
                <c:pt idx="62">
                  <c:v>5.6844729716279305</c:v>
                </c:pt>
                <c:pt idx="63">
                  <c:v>5.7314886741072693</c:v>
                </c:pt>
                <c:pt idx="64">
                  <c:v>5.8887060294791702</c:v>
                </c:pt>
                <c:pt idx="65">
                  <c:v>6.0625696658428065</c:v>
                </c:pt>
                <c:pt idx="66">
                  <c:v>6.232334955099005</c:v>
                </c:pt>
                <c:pt idx="67">
                  <c:v>6.3114531369171871</c:v>
                </c:pt>
                <c:pt idx="68">
                  <c:v>6.4506085088180134</c:v>
                </c:pt>
                <c:pt idx="69">
                  <c:v>6.6221010708014845</c:v>
                </c:pt>
                <c:pt idx="70">
                  <c:v>6.7662812360907409</c:v>
                </c:pt>
                <c:pt idx="71">
                  <c:v>6.9515771038593357</c:v>
                </c:pt>
                <c:pt idx="72">
                  <c:v>7.1243407402229719</c:v>
                </c:pt>
                <c:pt idx="73">
                  <c:v>7.3159837154295833</c:v>
                </c:pt>
                <c:pt idx="74">
                  <c:v>7.5270349550990048</c:v>
                </c:pt>
                <c:pt idx="75">
                  <c:v>7.7240729716279306</c:v>
                </c:pt>
                <c:pt idx="76">
                  <c:v>7.8799013412748122</c:v>
                </c:pt>
                <c:pt idx="77">
                  <c:v>8.044717607131016</c:v>
                </c:pt>
                <c:pt idx="78">
                  <c:v>8.2353704996929995</c:v>
                </c:pt>
                <c:pt idx="79">
                  <c:v>8.410000251759115</c:v>
                </c:pt>
                <c:pt idx="80">
                  <c:v>8.5935275244863885</c:v>
                </c:pt>
                <c:pt idx="81">
                  <c:v>8.8194795906020911</c:v>
                </c:pt>
                <c:pt idx="82">
                  <c:v>9.0041704996930001</c:v>
                </c:pt>
                <c:pt idx="83">
                  <c:v>9.1783143013458925</c:v>
                </c:pt>
                <c:pt idx="84">
                  <c:v>9.3660019046516769</c:v>
                </c:pt>
                <c:pt idx="85">
                  <c:v>9.5586762848169666</c:v>
                </c:pt>
                <c:pt idx="86">
                  <c:v>9.6376349625029167</c:v>
                </c:pt>
                <c:pt idx="87">
                  <c:v>9.7929076897756442</c:v>
                </c:pt>
                <c:pt idx="88">
                  <c:v>9.9531671939078752</c:v>
                </c:pt>
                <c:pt idx="89">
                  <c:v>10.14064653275085</c:v>
                </c:pt>
                <c:pt idx="90">
                  <c:v>10.324241574073163</c:v>
                </c:pt>
                <c:pt idx="91">
                  <c:v>10.473740747626882</c:v>
                </c:pt>
                <c:pt idx="92">
                  <c:v>10.625413474899609</c:v>
                </c:pt>
                <c:pt idx="93">
                  <c:v>10.872182069940932</c:v>
                </c:pt>
                <c:pt idx="94">
                  <c:v>11.097744053412006</c:v>
                </c:pt>
                <c:pt idx="95">
                  <c:v>11.278119260023576</c:v>
                </c:pt>
                <c:pt idx="96">
                  <c:v>11.398020086469858</c:v>
                </c:pt>
                <c:pt idx="97">
                  <c:v>11.490344053412006</c:v>
                </c:pt>
                <c:pt idx="98">
                  <c:v>11.601071326139278</c:v>
                </c:pt>
                <c:pt idx="99">
                  <c:v>11.696441574073162</c:v>
                </c:pt>
                <c:pt idx="100">
                  <c:v>11.797648185643411</c:v>
                </c:pt>
                <c:pt idx="101">
                  <c:v>11.894094466635146</c:v>
                </c:pt>
                <c:pt idx="102">
                  <c:v>11.981196119527707</c:v>
                </c:pt>
                <c:pt idx="103">
                  <c:v>12.063775458370683</c:v>
                </c:pt>
                <c:pt idx="104">
                  <c:v>12.129507689775641</c:v>
                </c:pt>
                <c:pt idx="105">
                  <c:v>12.179885375726055</c:v>
                </c:pt>
                <c:pt idx="106">
                  <c:v>12.212977111263246</c:v>
                </c:pt>
                <c:pt idx="107">
                  <c:v>12.226891160850023</c:v>
                </c:pt>
                <c:pt idx="108">
                  <c:v>12.253132483164073</c:v>
                </c:pt>
                <c:pt idx="109">
                  <c:v>12.293196119527709</c:v>
                </c:pt>
                <c:pt idx="110">
                  <c:v>12.333564714569031</c:v>
                </c:pt>
                <c:pt idx="111">
                  <c:v>12.373841574073163</c:v>
                </c:pt>
                <c:pt idx="112">
                  <c:v>12.411143226965725</c:v>
                </c:pt>
                <c:pt idx="113">
                  <c:v>12.449067193907874</c:v>
                </c:pt>
                <c:pt idx="114">
                  <c:v>12.483827524486387</c:v>
                </c:pt>
                <c:pt idx="115">
                  <c:v>12.517794466635147</c:v>
                </c:pt>
                <c:pt idx="116">
                  <c:v>12.553179590602088</c:v>
                </c:pt>
                <c:pt idx="117">
                  <c:v>12.592035788949195</c:v>
                </c:pt>
                <c:pt idx="118">
                  <c:v>12.6299399211806</c:v>
                </c:pt>
                <c:pt idx="119">
                  <c:v>12.660733309610352</c:v>
                </c:pt>
                <c:pt idx="120">
                  <c:v>12.690733309610351</c:v>
                </c:pt>
              </c:numCache>
            </c:numRef>
          </c:yVal>
          <c:smooth val="0"/>
          <c:extLst>
            <c:ext xmlns:c16="http://schemas.microsoft.com/office/drawing/2014/chart" uri="{C3380CC4-5D6E-409C-BE32-E72D297353CC}">
              <c16:uniqueId val="{00000001-1127-497D-96CC-98DED9DDE002}"/>
            </c:ext>
          </c:extLst>
        </c:ser>
        <c:ser>
          <c:idx val="3"/>
          <c:order val="2"/>
          <c:tx>
            <c:v>Total Irrigation + Precipitation</c:v>
          </c:tx>
          <c:spPr>
            <a:ln w="31750" cap="rnd">
              <a:solidFill>
                <a:srgbClr val="E632EA"/>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8'!$AZ$11:$AZ$131</c:f>
              <c:numCache>
                <c:formatCode>0.00</c:formatCode>
                <c:ptCount val="121"/>
                <c:pt idx="0">
                  <c:v>8.7096774193548399</c:v>
                </c:pt>
                <c:pt idx="1">
                  <c:v>8.7096774193548399</c:v>
                </c:pt>
                <c:pt idx="2">
                  <c:v>14.494825890740579</c:v>
                </c:pt>
                <c:pt idx="3">
                  <c:v>14.494825890740579</c:v>
                </c:pt>
                <c:pt idx="4">
                  <c:v>14.494825890740579</c:v>
                </c:pt>
                <c:pt idx="5">
                  <c:v>14.494825890740579</c:v>
                </c:pt>
                <c:pt idx="6">
                  <c:v>14.494825890740579</c:v>
                </c:pt>
                <c:pt idx="7">
                  <c:v>22.445221345503548</c:v>
                </c:pt>
                <c:pt idx="8">
                  <c:v>22.445221345503548</c:v>
                </c:pt>
                <c:pt idx="9">
                  <c:v>27.759698638752248</c:v>
                </c:pt>
                <c:pt idx="10">
                  <c:v>27.831698638752247</c:v>
                </c:pt>
                <c:pt idx="11">
                  <c:v>27.831698638752247</c:v>
                </c:pt>
                <c:pt idx="12">
                  <c:v>27.831698638752247</c:v>
                </c:pt>
                <c:pt idx="13">
                  <c:v>27.831698638752247</c:v>
                </c:pt>
                <c:pt idx="14">
                  <c:v>36.098281148466505</c:v>
                </c:pt>
                <c:pt idx="15">
                  <c:v>36.098281148466505</c:v>
                </c:pt>
                <c:pt idx="16">
                  <c:v>40.798567237923514</c:v>
                </c:pt>
                <c:pt idx="17">
                  <c:v>40.798567237923514</c:v>
                </c:pt>
                <c:pt idx="18">
                  <c:v>45.898257041421402</c:v>
                </c:pt>
                <c:pt idx="19">
                  <c:v>45.898257041421402</c:v>
                </c:pt>
                <c:pt idx="20">
                  <c:v>45.898257041421402</c:v>
                </c:pt>
                <c:pt idx="21">
                  <c:v>52.65597986041135</c:v>
                </c:pt>
                <c:pt idx="22">
                  <c:v>52.65597986041135</c:v>
                </c:pt>
                <c:pt idx="23">
                  <c:v>56.969078100781125</c:v>
                </c:pt>
                <c:pt idx="24">
                  <c:v>56.969078100781125</c:v>
                </c:pt>
                <c:pt idx="25">
                  <c:v>61.474226646774426</c:v>
                </c:pt>
                <c:pt idx="26">
                  <c:v>61.474226646774426</c:v>
                </c:pt>
                <c:pt idx="27">
                  <c:v>61.474226646774426</c:v>
                </c:pt>
                <c:pt idx="28">
                  <c:v>66.972760371114603</c:v>
                </c:pt>
                <c:pt idx="29">
                  <c:v>66.972760371114603</c:v>
                </c:pt>
                <c:pt idx="30">
                  <c:v>70.911160637640435</c:v>
                </c:pt>
                <c:pt idx="31">
                  <c:v>70.911160637640435</c:v>
                </c:pt>
                <c:pt idx="32">
                  <c:v>75.035330692674989</c:v>
                </c:pt>
                <c:pt idx="33">
                  <c:v>75.035330692674989</c:v>
                </c:pt>
                <c:pt idx="34">
                  <c:v>75.107330692674992</c:v>
                </c:pt>
                <c:pt idx="35">
                  <c:v>75.107330692674992</c:v>
                </c:pt>
                <c:pt idx="36">
                  <c:v>75.107330692674992</c:v>
                </c:pt>
                <c:pt idx="37">
                  <c:v>75.307330692674995</c:v>
                </c:pt>
                <c:pt idx="38">
                  <c:v>75.459330692674996</c:v>
                </c:pt>
                <c:pt idx="39">
                  <c:v>79.215157336172524</c:v>
                </c:pt>
                <c:pt idx="40">
                  <c:v>79.215157336172524</c:v>
                </c:pt>
                <c:pt idx="41">
                  <c:v>79.215157336172524</c:v>
                </c:pt>
                <c:pt idx="42">
                  <c:v>79.215157336172524</c:v>
                </c:pt>
                <c:pt idx="43">
                  <c:v>79.215157336172524</c:v>
                </c:pt>
                <c:pt idx="44">
                  <c:v>83.339327391207078</c:v>
                </c:pt>
                <c:pt idx="45">
                  <c:v>83.339327391207078</c:v>
                </c:pt>
                <c:pt idx="46">
                  <c:v>87.652425631576861</c:v>
                </c:pt>
                <c:pt idx="47">
                  <c:v>87.652425631576861</c:v>
                </c:pt>
                <c:pt idx="48">
                  <c:v>87.652425631576861</c:v>
                </c:pt>
                <c:pt idx="49">
                  <c:v>87.652425631576861</c:v>
                </c:pt>
                <c:pt idx="50">
                  <c:v>87.652425631576861</c:v>
                </c:pt>
                <c:pt idx="51">
                  <c:v>87.652425631576861</c:v>
                </c:pt>
                <c:pt idx="52">
                  <c:v>87.652425631576861</c:v>
                </c:pt>
                <c:pt idx="53">
                  <c:v>91.776595686611415</c:v>
                </c:pt>
                <c:pt idx="54">
                  <c:v>91.776595686611415</c:v>
                </c:pt>
                <c:pt idx="55">
                  <c:v>91.776595686611415</c:v>
                </c:pt>
                <c:pt idx="56">
                  <c:v>98.413292312732096</c:v>
                </c:pt>
                <c:pt idx="57">
                  <c:v>98.413292312732096</c:v>
                </c:pt>
                <c:pt idx="58">
                  <c:v>102.35169257925793</c:v>
                </c:pt>
                <c:pt idx="59">
                  <c:v>102.35169257925793</c:v>
                </c:pt>
                <c:pt idx="60">
                  <c:v>106.66479081962771</c:v>
                </c:pt>
                <c:pt idx="61">
                  <c:v>106.66479081962771</c:v>
                </c:pt>
                <c:pt idx="62">
                  <c:v>106.66479081962771</c:v>
                </c:pt>
                <c:pt idx="63">
                  <c:v>107.04879081962771</c:v>
                </c:pt>
                <c:pt idx="64">
                  <c:v>107.04879081962771</c:v>
                </c:pt>
                <c:pt idx="65">
                  <c:v>111.17296087466227</c:v>
                </c:pt>
                <c:pt idx="66">
                  <c:v>111.17296087466227</c:v>
                </c:pt>
                <c:pt idx="67">
                  <c:v>111.26096087466226</c:v>
                </c:pt>
                <c:pt idx="68">
                  <c:v>111.26096087466226</c:v>
                </c:pt>
                <c:pt idx="69">
                  <c:v>111.26096087466226</c:v>
                </c:pt>
                <c:pt idx="70">
                  <c:v>118.7695417846511</c:v>
                </c:pt>
                <c:pt idx="71">
                  <c:v>118.92954178465109</c:v>
                </c:pt>
                <c:pt idx="72">
                  <c:v>118.92954178465109</c:v>
                </c:pt>
                <c:pt idx="73">
                  <c:v>118.92954178465109</c:v>
                </c:pt>
                <c:pt idx="74">
                  <c:v>118.92954178465109</c:v>
                </c:pt>
                <c:pt idx="75">
                  <c:v>118.92954178465109</c:v>
                </c:pt>
                <c:pt idx="76">
                  <c:v>118.92954178465109</c:v>
                </c:pt>
                <c:pt idx="77">
                  <c:v>126.49052021888112</c:v>
                </c:pt>
                <c:pt idx="78">
                  <c:v>126.49052021888112</c:v>
                </c:pt>
                <c:pt idx="79">
                  <c:v>130.61469027391567</c:v>
                </c:pt>
                <c:pt idx="80">
                  <c:v>130.61469027391567</c:v>
                </c:pt>
                <c:pt idx="81">
                  <c:v>134.3705169174132</c:v>
                </c:pt>
                <c:pt idx="82">
                  <c:v>134.3705169174132</c:v>
                </c:pt>
                <c:pt idx="83">
                  <c:v>134.3705169174132</c:v>
                </c:pt>
                <c:pt idx="84">
                  <c:v>141.55901398469615</c:v>
                </c:pt>
                <c:pt idx="85">
                  <c:v>141.55901398469615</c:v>
                </c:pt>
                <c:pt idx="86">
                  <c:v>141.55901398469615</c:v>
                </c:pt>
                <c:pt idx="87">
                  <c:v>141.55901398469615</c:v>
                </c:pt>
                <c:pt idx="88">
                  <c:v>145.31484062819368</c:v>
                </c:pt>
                <c:pt idx="89">
                  <c:v>145.31484062819368</c:v>
                </c:pt>
                <c:pt idx="90">
                  <c:v>145.31484062819368</c:v>
                </c:pt>
                <c:pt idx="91">
                  <c:v>147.19275394994244</c:v>
                </c:pt>
                <c:pt idx="92">
                  <c:v>147.19275394994244</c:v>
                </c:pt>
                <c:pt idx="93">
                  <c:v>150.94858059343997</c:v>
                </c:pt>
                <c:pt idx="94">
                  <c:v>150.94858059343997</c:v>
                </c:pt>
                <c:pt idx="95">
                  <c:v>154.7044072369375</c:v>
                </c:pt>
                <c:pt idx="96">
                  <c:v>154.7044072369375</c:v>
                </c:pt>
                <c:pt idx="97">
                  <c:v>154.7044072369375</c:v>
                </c:pt>
                <c:pt idx="98">
                  <c:v>162.21606052393255</c:v>
                </c:pt>
                <c:pt idx="99">
                  <c:v>162.21606052393255</c:v>
                </c:pt>
                <c:pt idx="100">
                  <c:v>165.97188716743008</c:v>
                </c:pt>
                <c:pt idx="101">
                  <c:v>165.97188716743008</c:v>
                </c:pt>
                <c:pt idx="102">
                  <c:v>169.72771381092761</c:v>
                </c:pt>
                <c:pt idx="103">
                  <c:v>169.72771381092761</c:v>
                </c:pt>
                <c:pt idx="104">
                  <c:v>169.72771381092761</c:v>
                </c:pt>
                <c:pt idx="105">
                  <c:v>175.21244664311695</c:v>
                </c:pt>
                <c:pt idx="106">
                  <c:v>175.28444664311695</c:v>
                </c:pt>
                <c:pt idx="107">
                  <c:v>176.06844664311694</c:v>
                </c:pt>
                <c:pt idx="108">
                  <c:v>176.06844664311694</c:v>
                </c:pt>
                <c:pt idx="109">
                  <c:v>176.06844664311694</c:v>
                </c:pt>
                <c:pt idx="110">
                  <c:v>176.06844664311694</c:v>
                </c:pt>
                <c:pt idx="111">
                  <c:v>176.06844664311694</c:v>
                </c:pt>
                <c:pt idx="112">
                  <c:v>179.82427328661447</c:v>
                </c:pt>
                <c:pt idx="113">
                  <c:v>179.82427328661447</c:v>
                </c:pt>
                <c:pt idx="114">
                  <c:v>183.57940525142385</c:v>
                </c:pt>
                <c:pt idx="115">
                  <c:v>183.57940525142385</c:v>
                </c:pt>
                <c:pt idx="116">
                  <c:v>187.33523189492138</c:v>
                </c:pt>
                <c:pt idx="117">
                  <c:v>187.33523189492138</c:v>
                </c:pt>
                <c:pt idx="118">
                  <c:v>187.33523189492138</c:v>
                </c:pt>
                <c:pt idx="119">
                  <c:v>190.91172044971427</c:v>
                </c:pt>
                <c:pt idx="120">
                  <c:v>190.91172044971427</c:v>
                </c:pt>
              </c:numCache>
            </c:numRef>
          </c:yVal>
          <c:smooth val="0"/>
          <c:extLst>
            <c:ext xmlns:c16="http://schemas.microsoft.com/office/drawing/2014/chart" uri="{C3380CC4-5D6E-409C-BE32-E72D297353CC}">
              <c16:uniqueId val="{00000002-1127-497D-96CC-98DED9DDE002}"/>
            </c:ext>
          </c:extLst>
        </c:ser>
        <c:ser>
          <c:idx val="5"/>
          <c:order val="3"/>
          <c:tx>
            <c:v>Total Irrigation Return Flow</c:v>
          </c:tx>
          <c:spPr>
            <a:ln w="31750" cap="rnd">
              <a:solidFill>
                <a:srgbClr val="00B0F0"/>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8'!$AW$11:$AW$131</c:f>
              <c:numCache>
                <c:formatCode>0.00</c:formatCode>
                <c:ptCount val="121"/>
                <c:pt idx="0">
                  <c:v>8.6621774193548404</c:v>
                </c:pt>
                <c:pt idx="1">
                  <c:v>8.6621774193548404</c:v>
                </c:pt>
                <c:pt idx="2">
                  <c:v>14.321517316383289</c:v>
                </c:pt>
                <c:pt idx="3">
                  <c:v>14.321517316383289</c:v>
                </c:pt>
                <c:pt idx="4">
                  <c:v>14.321517316383289</c:v>
                </c:pt>
                <c:pt idx="5">
                  <c:v>14.321517316383289</c:v>
                </c:pt>
                <c:pt idx="6">
                  <c:v>14.321517316383289</c:v>
                </c:pt>
                <c:pt idx="7">
                  <c:v>22.147177321410808</c:v>
                </c:pt>
                <c:pt idx="8">
                  <c:v>22.147177321410808</c:v>
                </c:pt>
                <c:pt idx="9">
                  <c:v>26.985742603281523</c:v>
                </c:pt>
                <c:pt idx="10">
                  <c:v>26.985742603281523</c:v>
                </c:pt>
                <c:pt idx="11">
                  <c:v>26.985742603281523</c:v>
                </c:pt>
                <c:pt idx="12">
                  <c:v>26.985742603281523</c:v>
                </c:pt>
                <c:pt idx="13">
                  <c:v>26.985742603281523</c:v>
                </c:pt>
                <c:pt idx="14">
                  <c:v>35.031748858831563</c:v>
                </c:pt>
                <c:pt idx="15">
                  <c:v>35.031748858831563</c:v>
                </c:pt>
                <c:pt idx="16">
                  <c:v>39.581296931759645</c:v>
                </c:pt>
                <c:pt idx="17">
                  <c:v>39.581296931759645</c:v>
                </c:pt>
                <c:pt idx="18">
                  <c:v>44.512418140216212</c:v>
                </c:pt>
                <c:pt idx="19">
                  <c:v>44.512418140216212</c:v>
                </c:pt>
                <c:pt idx="20">
                  <c:v>44.512418140216212</c:v>
                </c:pt>
                <c:pt idx="21">
                  <c:v>51.06827522557699</c:v>
                </c:pt>
                <c:pt idx="22">
                  <c:v>51.06827522557699</c:v>
                </c:pt>
                <c:pt idx="23">
                  <c:v>55.247215614707095</c:v>
                </c:pt>
                <c:pt idx="24">
                  <c:v>55.247215614707095</c:v>
                </c:pt>
                <c:pt idx="25">
                  <c:v>59.609038540865683</c:v>
                </c:pt>
                <c:pt idx="26">
                  <c:v>59.609038540865683</c:v>
                </c:pt>
                <c:pt idx="27">
                  <c:v>59.609038540865683</c:v>
                </c:pt>
                <c:pt idx="28">
                  <c:v>64.841538163457045</c:v>
                </c:pt>
                <c:pt idx="29">
                  <c:v>64.841538163457045</c:v>
                </c:pt>
                <c:pt idx="30">
                  <c:v>68.580649173784522</c:v>
                </c:pt>
                <c:pt idx="31">
                  <c:v>68.580649173784522</c:v>
                </c:pt>
                <c:pt idx="32">
                  <c:v>72.506504352786024</c:v>
                </c:pt>
                <c:pt idx="33">
                  <c:v>72.506504352786024</c:v>
                </c:pt>
                <c:pt idx="34">
                  <c:v>72.506504352786024</c:v>
                </c:pt>
                <c:pt idx="35">
                  <c:v>72.506504352786024</c:v>
                </c:pt>
                <c:pt idx="36">
                  <c:v>72.506504352786024</c:v>
                </c:pt>
                <c:pt idx="37">
                  <c:v>72.506504352786024</c:v>
                </c:pt>
                <c:pt idx="38">
                  <c:v>72.506504352786024</c:v>
                </c:pt>
                <c:pt idx="39">
                  <c:v>76.051689619513752</c:v>
                </c:pt>
                <c:pt idx="40">
                  <c:v>76.051689619513752</c:v>
                </c:pt>
                <c:pt idx="41">
                  <c:v>76.051689619513752</c:v>
                </c:pt>
                <c:pt idx="42">
                  <c:v>76.051689619513752</c:v>
                </c:pt>
                <c:pt idx="43">
                  <c:v>76.051689619513752</c:v>
                </c:pt>
                <c:pt idx="44">
                  <c:v>79.634733234397828</c:v>
                </c:pt>
                <c:pt idx="45">
                  <c:v>79.634733234397828</c:v>
                </c:pt>
                <c:pt idx="46">
                  <c:v>83.759494284684962</c:v>
                </c:pt>
                <c:pt idx="47">
                  <c:v>83.759494284684962</c:v>
                </c:pt>
                <c:pt idx="48">
                  <c:v>83.759494284684962</c:v>
                </c:pt>
                <c:pt idx="49">
                  <c:v>83.759494284684962</c:v>
                </c:pt>
                <c:pt idx="50">
                  <c:v>83.759494284684962</c:v>
                </c:pt>
                <c:pt idx="51">
                  <c:v>83.759494284684962</c:v>
                </c:pt>
                <c:pt idx="52">
                  <c:v>83.759494284684962</c:v>
                </c:pt>
                <c:pt idx="53">
                  <c:v>87.086537666438304</c:v>
                </c:pt>
                <c:pt idx="54">
                  <c:v>87.086537666438304</c:v>
                </c:pt>
                <c:pt idx="55">
                  <c:v>87.086537666438304</c:v>
                </c:pt>
                <c:pt idx="56">
                  <c:v>93.198347681235404</c:v>
                </c:pt>
                <c:pt idx="57">
                  <c:v>93.198347681235404</c:v>
                </c:pt>
                <c:pt idx="58">
                  <c:v>96.83965125354635</c:v>
                </c:pt>
                <c:pt idx="59">
                  <c:v>96.83965125354635</c:v>
                </c:pt>
                <c:pt idx="60">
                  <c:v>100.81254949391612</c:v>
                </c:pt>
                <c:pt idx="61">
                  <c:v>100.81254949391612</c:v>
                </c:pt>
                <c:pt idx="62">
                  <c:v>100.81254949391612</c:v>
                </c:pt>
                <c:pt idx="63">
                  <c:v>100.81254949391612</c:v>
                </c:pt>
                <c:pt idx="64">
                  <c:v>100.81254949391612</c:v>
                </c:pt>
                <c:pt idx="65">
                  <c:v>104.56965839192588</c:v>
                </c:pt>
                <c:pt idx="66">
                  <c:v>104.56965839192588</c:v>
                </c:pt>
                <c:pt idx="67">
                  <c:v>104.56965839192588</c:v>
                </c:pt>
                <c:pt idx="68">
                  <c:v>104.56965839192588</c:v>
                </c:pt>
                <c:pt idx="69">
                  <c:v>104.56965839192588</c:v>
                </c:pt>
                <c:pt idx="70">
                  <c:v>111.46252773166678</c:v>
                </c:pt>
                <c:pt idx="71">
                  <c:v>111.46252773166678</c:v>
                </c:pt>
                <c:pt idx="72">
                  <c:v>111.46252773166678</c:v>
                </c:pt>
                <c:pt idx="73">
                  <c:v>111.46252773166678</c:v>
                </c:pt>
                <c:pt idx="74">
                  <c:v>111.46252773166678</c:v>
                </c:pt>
                <c:pt idx="75">
                  <c:v>111.46252773166678</c:v>
                </c:pt>
                <c:pt idx="76">
                  <c:v>111.46252773166678</c:v>
                </c:pt>
                <c:pt idx="77">
                  <c:v>117.90506979485653</c:v>
                </c:pt>
                <c:pt idx="78">
                  <c:v>117.90506979485653</c:v>
                </c:pt>
                <c:pt idx="79">
                  <c:v>121.66395720526299</c:v>
                </c:pt>
                <c:pt idx="80">
                  <c:v>121.66395720526299</c:v>
                </c:pt>
                <c:pt idx="81">
                  <c:v>125.01030450991755</c:v>
                </c:pt>
                <c:pt idx="82">
                  <c:v>125.01030450991755</c:v>
                </c:pt>
                <c:pt idx="83">
                  <c:v>125.01030450991755</c:v>
                </c:pt>
                <c:pt idx="84">
                  <c:v>131.65227926315092</c:v>
                </c:pt>
                <c:pt idx="85">
                  <c:v>131.65227926315092</c:v>
                </c:pt>
                <c:pt idx="86">
                  <c:v>131.65227926315092</c:v>
                </c:pt>
                <c:pt idx="87">
                  <c:v>131.65227926315092</c:v>
                </c:pt>
                <c:pt idx="88">
                  <c:v>134.82094061739224</c:v>
                </c:pt>
                <c:pt idx="89">
                  <c:v>134.82094061739224</c:v>
                </c:pt>
                <c:pt idx="90">
                  <c:v>134.82094061739224</c:v>
                </c:pt>
                <c:pt idx="91">
                  <c:v>136.178280385422</c:v>
                </c:pt>
                <c:pt idx="92">
                  <c:v>136.178280385422</c:v>
                </c:pt>
                <c:pt idx="93">
                  <c:v>139.53566570660547</c:v>
                </c:pt>
                <c:pt idx="94">
                  <c:v>139.53566570660547</c:v>
                </c:pt>
                <c:pt idx="95">
                  <c:v>142.88555516002035</c:v>
                </c:pt>
                <c:pt idx="96">
                  <c:v>142.88555516002035</c:v>
                </c:pt>
                <c:pt idx="97">
                  <c:v>142.88555516002035</c:v>
                </c:pt>
                <c:pt idx="98">
                  <c:v>150.07425638089973</c:v>
                </c:pt>
                <c:pt idx="99">
                  <c:v>150.07425638089973</c:v>
                </c:pt>
                <c:pt idx="100">
                  <c:v>153.63350616489313</c:v>
                </c:pt>
                <c:pt idx="101">
                  <c:v>153.63350616489313</c:v>
                </c:pt>
                <c:pt idx="102">
                  <c:v>157.20578487450638</c:v>
                </c:pt>
                <c:pt idx="103">
                  <c:v>157.20578487450638</c:v>
                </c:pt>
                <c:pt idx="104">
                  <c:v>157.20578487450638</c:v>
                </c:pt>
                <c:pt idx="105">
                  <c:v>162.37617555572078</c:v>
                </c:pt>
                <c:pt idx="106">
                  <c:v>162.37617555572078</c:v>
                </c:pt>
                <c:pt idx="107">
                  <c:v>162.37617555572078</c:v>
                </c:pt>
                <c:pt idx="108">
                  <c:v>162.37617555572078</c:v>
                </c:pt>
                <c:pt idx="109">
                  <c:v>162.37617555572078</c:v>
                </c:pt>
                <c:pt idx="110">
                  <c:v>162.37617555572078</c:v>
                </c:pt>
                <c:pt idx="111">
                  <c:v>162.37617555572078</c:v>
                </c:pt>
                <c:pt idx="112">
                  <c:v>165.9477501331026</c:v>
                </c:pt>
                <c:pt idx="113">
                  <c:v>165.9477501331026</c:v>
                </c:pt>
                <c:pt idx="114">
                  <c:v>169.63019780039133</c:v>
                </c:pt>
                <c:pt idx="115">
                  <c:v>169.63019780039133</c:v>
                </c:pt>
                <c:pt idx="116">
                  <c:v>173.31667237777316</c:v>
                </c:pt>
                <c:pt idx="117">
                  <c:v>173.31667237777316</c:v>
                </c:pt>
                <c:pt idx="118">
                  <c:v>173.31667237777316</c:v>
                </c:pt>
                <c:pt idx="119">
                  <c:v>176.7856072135578</c:v>
                </c:pt>
                <c:pt idx="120">
                  <c:v>176.7856072135578</c:v>
                </c:pt>
              </c:numCache>
            </c:numRef>
          </c:yVal>
          <c:smooth val="0"/>
          <c:extLst>
            <c:ext xmlns:c16="http://schemas.microsoft.com/office/drawing/2014/chart" uri="{C3380CC4-5D6E-409C-BE32-E72D297353CC}">
              <c16:uniqueId val="{00000003-1127-497D-96CC-98DED9DDE002}"/>
            </c:ext>
          </c:extLst>
        </c:ser>
        <c:dLbls>
          <c:showLegendKey val="0"/>
          <c:showVal val="0"/>
          <c:showCatName val="0"/>
          <c:showSerName val="0"/>
          <c:showPercent val="0"/>
          <c:showBubbleSize val="0"/>
        </c:dLbls>
        <c:axId val="90076224"/>
        <c:axId val="180167808"/>
      </c:scatterChart>
      <c:valAx>
        <c:axId val="90076224"/>
        <c:scaling>
          <c:orientation val="minMax"/>
          <c:max val="42275"/>
          <c:min val="42156"/>
        </c:scaling>
        <c:delete val="0"/>
        <c:axPos val="b"/>
        <c:majorGridlines>
          <c:spPr>
            <a:ln w="9525" cap="flat" cmpd="sng" algn="ctr">
              <a:solidFill>
                <a:schemeClr val="bg1">
                  <a:lumMod val="7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80167808"/>
        <c:crossesAt val="0"/>
        <c:crossBetween val="midCat"/>
        <c:majorUnit val="7"/>
      </c:valAx>
      <c:valAx>
        <c:axId val="180167808"/>
        <c:scaling>
          <c:orientation val="minMax"/>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Depth (inches)</a:t>
                </a:r>
              </a:p>
            </c:rich>
          </c:tx>
          <c:layout>
            <c:manualLayout>
              <c:xMode val="edge"/>
              <c:yMode val="edge"/>
              <c:x val="1.2646374891201269E-2"/>
              <c:y val="0.36124270823450266"/>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90076224"/>
        <c:crosses val="autoZero"/>
        <c:crossBetween val="midCat"/>
        <c:majorUnit val="20"/>
      </c:valAx>
      <c:spPr>
        <a:noFill/>
        <a:ln w="12700">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Available Water, Available Water, and </a:t>
            </a:r>
            <a:r>
              <a:rPr lang="en-US" b="1" baseline="0"/>
              <a:t>Management Allowed Depletion</a:t>
            </a:r>
            <a:endParaRPr lang="en-US" b="1"/>
          </a:p>
        </c:rich>
      </c:tx>
      <c:layout>
        <c:manualLayout>
          <c:xMode val="edge"/>
          <c:yMode val="edge"/>
          <c:x val="0.16680530798177856"/>
          <c:y val="2.82548443585730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554785827519592E-2"/>
          <c:y val="0.10404803175221564"/>
          <c:w val="0.84489202324641066"/>
          <c:h val="0.78519075357128376"/>
        </c:manualLayout>
      </c:layout>
      <c:scatterChart>
        <c:scatterStyle val="lineMarker"/>
        <c:varyColors val="0"/>
        <c:ser>
          <c:idx val="2"/>
          <c:order val="0"/>
          <c:tx>
            <c:v>Available Water</c:v>
          </c:tx>
          <c:spPr>
            <a:ln w="19050" cap="rnd">
              <a:solidFill>
                <a:schemeClr val="bg1">
                  <a:lumMod val="50000"/>
                </a:schemeClr>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8'!$AQ$11:$AQ$131</c:f>
              <c:numCache>
                <c:formatCode>0.00</c:formatCode>
                <c:ptCount val="121"/>
                <c:pt idx="0">
                  <c:v>0.27</c:v>
                </c:pt>
                <c:pt idx="1">
                  <c:v>0.23750000000000002</c:v>
                </c:pt>
                <c:pt idx="2">
                  <c:v>0.27</c:v>
                </c:pt>
                <c:pt idx="3">
                  <c:v>0.25</c:v>
                </c:pt>
                <c:pt idx="4">
                  <c:v>0.22750000000000004</c:v>
                </c:pt>
                <c:pt idx="5">
                  <c:v>0.19750000000000001</c:v>
                </c:pt>
                <c:pt idx="6">
                  <c:v>0.17000000000000004</c:v>
                </c:pt>
                <c:pt idx="7">
                  <c:v>0.27</c:v>
                </c:pt>
                <c:pt idx="8">
                  <c:v>0.24250000000000002</c:v>
                </c:pt>
                <c:pt idx="9">
                  <c:v>0.27</c:v>
                </c:pt>
                <c:pt idx="10">
                  <c:v>0.27</c:v>
                </c:pt>
                <c:pt idx="11">
                  <c:v>0.20500000000000002</c:v>
                </c:pt>
                <c:pt idx="12">
                  <c:v>0.13750000000000001</c:v>
                </c:pt>
                <c:pt idx="13">
                  <c:v>9.2030423280423296E-2</c:v>
                </c:pt>
                <c:pt idx="14">
                  <c:v>0.27</c:v>
                </c:pt>
                <c:pt idx="15">
                  <c:v>0.20800274032187907</c:v>
                </c:pt>
                <c:pt idx="16">
                  <c:v>0.29466289691170078</c:v>
                </c:pt>
                <c:pt idx="17">
                  <c:v>0.22416685515441498</c:v>
                </c:pt>
                <c:pt idx="18">
                  <c:v>0.32096998695084827</c:v>
                </c:pt>
                <c:pt idx="19">
                  <c:v>0.26948220965637248</c:v>
                </c:pt>
                <c:pt idx="20">
                  <c:v>0.20884319269247509</c:v>
                </c:pt>
                <c:pt idx="21">
                  <c:v>0.36043062200956943</c:v>
                </c:pt>
                <c:pt idx="22">
                  <c:v>0.31144928229665092</c:v>
                </c:pt>
                <c:pt idx="23">
                  <c:v>0.39824706394084403</c:v>
                </c:pt>
                <c:pt idx="24">
                  <c:v>0.34930021748586348</c:v>
                </c:pt>
                <c:pt idx="25">
                  <c:v>0.44209221400608983</c:v>
                </c:pt>
                <c:pt idx="26">
                  <c:v>0.38997181383210117</c:v>
                </c:pt>
                <c:pt idx="27">
                  <c:v>0.31420595911265786</c:v>
                </c:pt>
                <c:pt idx="28">
                  <c:v>0.50785993910395844</c:v>
                </c:pt>
                <c:pt idx="29">
                  <c:v>0.43127838190517642</c:v>
                </c:pt>
                <c:pt idx="30">
                  <c:v>0.55499347542409749</c:v>
                </c:pt>
                <c:pt idx="31">
                  <c:v>0.48501296215745993</c:v>
                </c:pt>
                <c:pt idx="32">
                  <c:v>0.60760765550239237</c:v>
                </c:pt>
                <c:pt idx="33">
                  <c:v>0.51519656372335809</c:v>
                </c:pt>
                <c:pt idx="34">
                  <c:v>0.53996646367986101</c:v>
                </c:pt>
                <c:pt idx="35">
                  <c:v>0.47236859504132256</c:v>
                </c:pt>
                <c:pt idx="36">
                  <c:v>0.41434620984594561</c:v>
                </c:pt>
                <c:pt idx="37">
                  <c:v>0.60474861888047438</c:v>
                </c:pt>
                <c:pt idx="38">
                  <c:v>0.68719229004184867</c:v>
                </c:pt>
                <c:pt idx="39">
                  <c:v>0.8013484123531972</c:v>
                </c:pt>
                <c:pt idx="40">
                  <c:v>0.69779869508481951</c:v>
                </c:pt>
                <c:pt idx="41">
                  <c:v>0.59986220095693787</c:v>
                </c:pt>
                <c:pt idx="42">
                  <c:v>0.52542983906046137</c:v>
                </c:pt>
                <c:pt idx="43">
                  <c:v>0.45614644096473511</c:v>
                </c:pt>
                <c:pt idx="44">
                  <c:v>0.95480643758155737</c:v>
                </c:pt>
                <c:pt idx="45">
                  <c:v>0.87625158764680311</c:v>
                </c:pt>
                <c:pt idx="46">
                  <c:v>1.0233144845585038</c:v>
                </c:pt>
                <c:pt idx="47">
                  <c:v>0.97546994345367577</c:v>
                </c:pt>
                <c:pt idx="48">
                  <c:v>0.89094275772074827</c:v>
                </c:pt>
                <c:pt idx="49">
                  <c:v>0.83441226620269693</c:v>
                </c:pt>
                <c:pt idx="50">
                  <c:v>0.75000243584167059</c:v>
                </c:pt>
                <c:pt idx="51">
                  <c:v>0.62141051816281967</c:v>
                </c:pt>
                <c:pt idx="52">
                  <c:v>0.54575802435879273</c:v>
                </c:pt>
                <c:pt idx="53">
                  <c:v>1.2735058721183128</c:v>
                </c:pt>
                <c:pt idx="54">
                  <c:v>1.1436028708133976</c:v>
                </c:pt>
                <c:pt idx="55">
                  <c:v>0.98707177033492832</c:v>
                </c:pt>
                <c:pt idx="56">
                  <c:v>1.3918877772944762</c:v>
                </c:pt>
                <c:pt idx="57">
                  <c:v>1.287288908220966</c:v>
                </c:pt>
                <c:pt idx="58">
                  <c:v>1.4708090474119186</c:v>
                </c:pt>
                <c:pt idx="59">
                  <c:v>1.3417762940408875</c:v>
                </c:pt>
                <c:pt idx="60">
                  <c:v>1.5497303175293606</c:v>
                </c:pt>
                <c:pt idx="61">
                  <c:v>1.4207496302740323</c:v>
                </c:pt>
                <c:pt idx="62">
                  <c:v>1.2556871248368859</c:v>
                </c:pt>
                <c:pt idx="63">
                  <c:v>1.6321320574162679</c:v>
                </c:pt>
                <c:pt idx="64">
                  <c:v>1.5143753371030888</c:v>
                </c:pt>
                <c:pt idx="65">
                  <c:v>1.7470334928229667</c:v>
                </c:pt>
                <c:pt idx="66">
                  <c:v>1.6167288386254892</c:v>
                </c:pt>
                <c:pt idx="67">
                  <c:v>1.6650712918660291</c:v>
                </c:pt>
                <c:pt idx="68">
                  <c:v>1.5694870378425403</c:v>
                </c:pt>
                <c:pt idx="69">
                  <c:v>1.4418396259243151</c:v>
                </c:pt>
                <c:pt idx="70">
                  <c:v>1.9572161809482387</c:v>
                </c:pt>
                <c:pt idx="71">
                  <c:v>1.9757654632448891</c:v>
                </c:pt>
                <c:pt idx="72">
                  <c:v>1.8468469769464986</c:v>
                </c:pt>
                <c:pt idx="73">
                  <c:v>1.6990491518051325</c:v>
                </c:pt>
                <c:pt idx="74">
                  <c:v>1.5318430622009571</c:v>
                </c:pt>
                <c:pt idx="75">
                  <c:v>1.3622082644628102</c:v>
                </c:pt>
                <c:pt idx="76">
                  <c:v>1.2063798948159281</c:v>
                </c:pt>
                <c:pt idx="77">
                  <c:v>2.16</c:v>
                </c:pt>
                <c:pt idx="78">
                  <c:v>1.9693471074380167</c:v>
                </c:pt>
                <c:pt idx="79">
                  <c:v>2.16</c:v>
                </c:pt>
                <c:pt idx="80">
                  <c:v>1.9764727272727274</c:v>
                </c:pt>
                <c:pt idx="81">
                  <c:v>2.16</c:v>
                </c:pt>
                <c:pt idx="82">
                  <c:v>1.9753090909090911</c:v>
                </c:pt>
                <c:pt idx="83">
                  <c:v>1.8011652892561985</c:v>
                </c:pt>
                <c:pt idx="84">
                  <c:v>2.16</c:v>
                </c:pt>
                <c:pt idx="85">
                  <c:v>1.9673256198347109</c:v>
                </c:pt>
                <c:pt idx="86">
                  <c:v>1.8883669421487603</c:v>
                </c:pt>
                <c:pt idx="87">
                  <c:v>1.7330942148760331</c:v>
                </c:pt>
                <c:pt idx="88">
                  <c:v>2.16</c:v>
                </c:pt>
                <c:pt idx="89">
                  <c:v>1.972520661157025</c:v>
                </c:pt>
                <c:pt idx="90">
                  <c:v>1.788925619834711</c:v>
                </c:pt>
                <c:pt idx="91">
                  <c:v>2.16</c:v>
                </c:pt>
                <c:pt idx="92">
                  <c:v>2.0083272727272727</c:v>
                </c:pt>
                <c:pt idx="93">
                  <c:v>2.16</c:v>
                </c:pt>
                <c:pt idx="94">
                  <c:v>1.9344380165289259</c:v>
                </c:pt>
                <c:pt idx="95">
                  <c:v>2.16</c:v>
                </c:pt>
                <c:pt idx="96">
                  <c:v>2.0400991735537191</c:v>
                </c:pt>
                <c:pt idx="97">
                  <c:v>1.9477752066115706</c:v>
                </c:pt>
                <c:pt idx="98">
                  <c:v>2.16</c:v>
                </c:pt>
                <c:pt idx="99">
                  <c:v>2.0646297520661157</c:v>
                </c:pt>
                <c:pt idx="100">
                  <c:v>2.16</c:v>
                </c:pt>
                <c:pt idx="101">
                  <c:v>2.0635537190082647</c:v>
                </c:pt>
                <c:pt idx="102">
                  <c:v>2.16</c:v>
                </c:pt>
                <c:pt idx="103">
                  <c:v>2.0774206611570247</c:v>
                </c:pt>
                <c:pt idx="104">
                  <c:v>2.0116884297520663</c:v>
                </c:pt>
                <c:pt idx="105">
                  <c:v>2.16</c:v>
                </c:pt>
                <c:pt idx="106">
                  <c:v>2.16</c:v>
                </c:pt>
                <c:pt idx="107">
                  <c:v>2.16</c:v>
                </c:pt>
                <c:pt idx="108">
                  <c:v>2.1337586776859507</c:v>
                </c:pt>
                <c:pt idx="109">
                  <c:v>2.0936950413223143</c:v>
                </c:pt>
                <c:pt idx="110">
                  <c:v>2.0533264462809919</c:v>
                </c:pt>
                <c:pt idx="111">
                  <c:v>2.0130495867768596</c:v>
                </c:pt>
                <c:pt idx="112">
                  <c:v>2.16</c:v>
                </c:pt>
                <c:pt idx="113">
                  <c:v>2.1220760330578514</c:v>
                </c:pt>
                <c:pt idx="114">
                  <c:v>2.16</c:v>
                </c:pt>
                <c:pt idx="115">
                  <c:v>2.1260330578512399</c:v>
                </c:pt>
                <c:pt idx="116">
                  <c:v>2.16</c:v>
                </c:pt>
                <c:pt idx="117">
                  <c:v>2.1211438016528925</c:v>
                </c:pt>
                <c:pt idx="118">
                  <c:v>2.0832396694214879</c:v>
                </c:pt>
                <c:pt idx="119">
                  <c:v>2.16</c:v>
                </c:pt>
                <c:pt idx="120">
                  <c:v>2.1300000000000003</c:v>
                </c:pt>
              </c:numCache>
            </c:numRef>
          </c:yVal>
          <c:smooth val="0"/>
          <c:extLst>
            <c:ext xmlns:c16="http://schemas.microsoft.com/office/drawing/2014/chart" uri="{C3380CC4-5D6E-409C-BE32-E72D297353CC}">
              <c16:uniqueId val="{00000000-A93D-4936-86A6-850381A18650}"/>
            </c:ext>
          </c:extLst>
        </c:ser>
        <c:ser>
          <c:idx val="1"/>
          <c:order val="1"/>
          <c:tx>
            <c:v>Total Available Water</c:v>
          </c:tx>
          <c:spPr>
            <a:ln w="19050" cap="rnd">
              <a:solidFill>
                <a:schemeClr val="accent2">
                  <a:lumMod val="75000"/>
                </a:schemeClr>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8'!$AK$11:$AK$131</c:f>
              <c:numCache>
                <c:formatCode>0.00</c:formatCode>
                <c:ptCount val="121"/>
                <c:pt idx="0">
                  <c:v>0.27</c:v>
                </c:pt>
                <c:pt idx="1">
                  <c:v>0.27</c:v>
                </c:pt>
                <c:pt idx="2">
                  <c:v>0.27</c:v>
                </c:pt>
                <c:pt idx="3">
                  <c:v>0.27</c:v>
                </c:pt>
                <c:pt idx="4">
                  <c:v>0.27</c:v>
                </c:pt>
                <c:pt idx="5">
                  <c:v>0.27</c:v>
                </c:pt>
                <c:pt idx="6">
                  <c:v>0.27</c:v>
                </c:pt>
                <c:pt idx="7">
                  <c:v>0.27</c:v>
                </c:pt>
                <c:pt idx="8">
                  <c:v>0.27</c:v>
                </c:pt>
                <c:pt idx="9">
                  <c:v>0.27</c:v>
                </c:pt>
                <c:pt idx="10">
                  <c:v>0.27</c:v>
                </c:pt>
                <c:pt idx="11">
                  <c:v>0.27</c:v>
                </c:pt>
                <c:pt idx="12">
                  <c:v>0.27</c:v>
                </c:pt>
                <c:pt idx="13">
                  <c:v>0.27</c:v>
                </c:pt>
                <c:pt idx="14">
                  <c:v>0.27</c:v>
                </c:pt>
                <c:pt idx="15">
                  <c:v>0.281509351892127</c:v>
                </c:pt>
                <c:pt idx="16">
                  <c:v>0.29466289691170078</c:v>
                </c:pt>
                <c:pt idx="17">
                  <c:v>0.3078164419312745</c:v>
                </c:pt>
                <c:pt idx="18">
                  <c:v>0.32096998695084827</c:v>
                </c:pt>
                <c:pt idx="19">
                  <c:v>0.33412353197042205</c:v>
                </c:pt>
                <c:pt idx="20">
                  <c:v>0.34727707698999577</c:v>
                </c:pt>
                <c:pt idx="21">
                  <c:v>0.36043062200956943</c:v>
                </c:pt>
                <c:pt idx="22">
                  <c:v>0.37632448890822118</c:v>
                </c:pt>
                <c:pt idx="23">
                  <c:v>0.39824706394084403</c:v>
                </c:pt>
                <c:pt idx="24">
                  <c:v>0.42016963897346682</c:v>
                </c:pt>
                <c:pt idx="25">
                  <c:v>0.44209221400608983</c:v>
                </c:pt>
                <c:pt idx="26">
                  <c:v>0.46401478903871274</c:v>
                </c:pt>
                <c:pt idx="27">
                  <c:v>0.48593736407133559</c:v>
                </c:pt>
                <c:pt idx="28">
                  <c:v>0.50785993910395844</c:v>
                </c:pt>
                <c:pt idx="29">
                  <c:v>0.5297825141365814</c:v>
                </c:pt>
                <c:pt idx="30">
                  <c:v>0.55499347542409749</c:v>
                </c:pt>
                <c:pt idx="31">
                  <c:v>0.58130056546324504</c:v>
                </c:pt>
                <c:pt idx="32">
                  <c:v>0.60760765550239237</c:v>
                </c:pt>
                <c:pt idx="33">
                  <c:v>0.63391474554153993</c:v>
                </c:pt>
                <c:pt idx="34">
                  <c:v>0.66022183558068748</c:v>
                </c:pt>
                <c:pt idx="35">
                  <c:v>0.68652892561983492</c:v>
                </c:pt>
                <c:pt idx="36">
                  <c:v>0.71283601565898236</c:v>
                </c:pt>
                <c:pt idx="37">
                  <c:v>0.73996520226185314</c:v>
                </c:pt>
                <c:pt idx="38">
                  <c:v>0.77065680730752495</c:v>
                </c:pt>
                <c:pt idx="39">
                  <c:v>0.8013484123531972</c:v>
                </c:pt>
                <c:pt idx="40">
                  <c:v>0.83204001739886913</c:v>
                </c:pt>
                <c:pt idx="41">
                  <c:v>0.86273162244454116</c:v>
                </c:pt>
                <c:pt idx="42">
                  <c:v>0.89342322749021341</c:v>
                </c:pt>
                <c:pt idx="43">
                  <c:v>0.92411483253588533</c:v>
                </c:pt>
                <c:pt idx="44">
                  <c:v>0.95480643758155737</c:v>
                </c:pt>
                <c:pt idx="45">
                  <c:v>0.9882383645063072</c:v>
                </c:pt>
                <c:pt idx="46">
                  <c:v>1.0233144845585038</c:v>
                </c:pt>
                <c:pt idx="47">
                  <c:v>1.0583906046107006</c:v>
                </c:pt>
                <c:pt idx="48">
                  <c:v>1.0934667246628971</c:v>
                </c:pt>
                <c:pt idx="49">
                  <c:v>1.1285428447150936</c:v>
                </c:pt>
                <c:pt idx="50">
                  <c:v>1.1636189647672903</c:v>
                </c:pt>
                <c:pt idx="51">
                  <c:v>1.1986950848194871</c:v>
                </c:pt>
                <c:pt idx="52">
                  <c:v>1.2340452370595916</c:v>
                </c:pt>
                <c:pt idx="53">
                  <c:v>1.2735058721183128</c:v>
                </c:pt>
                <c:pt idx="54">
                  <c:v>1.312966507177034</c:v>
                </c:pt>
                <c:pt idx="55">
                  <c:v>1.3524271422357548</c:v>
                </c:pt>
                <c:pt idx="56">
                  <c:v>1.3918877772944762</c:v>
                </c:pt>
                <c:pt idx="57">
                  <c:v>1.4313484123531974</c:v>
                </c:pt>
                <c:pt idx="58">
                  <c:v>1.4708090474119186</c:v>
                </c:pt>
                <c:pt idx="59">
                  <c:v>1.5102696824706396</c:v>
                </c:pt>
                <c:pt idx="60">
                  <c:v>1.5497303175293606</c:v>
                </c:pt>
                <c:pt idx="61">
                  <c:v>1.5891909525880819</c:v>
                </c:pt>
                <c:pt idx="62">
                  <c:v>1.6286515876468033</c:v>
                </c:pt>
                <c:pt idx="63">
                  <c:v>1.6681122227055241</c:v>
                </c:pt>
                <c:pt idx="64">
                  <c:v>1.7075728577642457</c:v>
                </c:pt>
                <c:pt idx="65">
                  <c:v>1.7470334928229667</c:v>
                </c:pt>
                <c:pt idx="66">
                  <c:v>1.7864941278816875</c:v>
                </c:pt>
                <c:pt idx="67">
                  <c:v>1.8259547629404091</c:v>
                </c:pt>
                <c:pt idx="68">
                  <c:v>1.8695258808177468</c:v>
                </c:pt>
                <c:pt idx="69">
                  <c:v>1.9133710308829928</c:v>
                </c:pt>
                <c:pt idx="70">
                  <c:v>1.9572161809482387</c:v>
                </c:pt>
                <c:pt idx="71">
                  <c:v>2.0010613310134842</c:v>
                </c:pt>
                <c:pt idx="72">
                  <c:v>2.0449064810787299</c:v>
                </c:pt>
                <c:pt idx="73">
                  <c:v>2.0887516311439756</c:v>
                </c:pt>
                <c:pt idx="74">
                  <c:v>2.1325967812092217</c:v>
                </c:pt>
                <c:pt idx="75">
                  <c:v>2.16</c:v>
                </c:pt>
                <c:pt idx="76">
                  <c:v>2.16</c:v>
                </c:pt>
                <c:pt idx="77">
                  <c:v>2.16</c:v>
                </c:pt>
                <c:pt idx="78">
                  <c:v>2.16</c:v>
                </c:pt>
                <c:pt idx="79">
                  <c:v>2.16</c:v>
                </c:pt>
                <c:pt idx="80">
                  <c:v>2.16</c:v>
                </c:pt>
                <c:pt idx="81">
                  <c:v>2.16</c:v>
                </c:pt>
                <c:pt idx="82">
                  <c:v>2.16</c:v>
                </c:pt>
                <c:pt idx="83">
                  <c:v>2.16</c:v>
                </c:pt>
                <c:pt idx="84">
                  <c:v>2.16</c:v>
                </c:pt>
                <c:pt idx="85">
                  <c:v>2.16</c:v>
                </c:pt>
                <c:pt idx="86">
                  <c:v>2.16</c:v>
                </c:pt>
                <c:pt idx="87">
                  <c:v>2.16</c:v>
                </c:pt>
                <c:pt idx="88">
                  <c:v>2.16</c:v>
                </c:pt>
                <c:pt idx="89">
                  <c:v>2.16</c:v>
                </c:pt>
                <c:pt idx="90">
                  <c:v>2.16</c:v>
                </c:pt>
                <c:pt idx="91">
                  <c:v>2.16</c:v>
                </c:pt>
                <c:pt idx="92">
                  <c:v>2.16</c:v>
                </c:pt>
                <c:pt idx="93">
                  <c:v>2.16</c:v>
                </c:pt>
                <c:pt idx="94">
                  <c:v>2.16</c:v>
                </c:pt>
                <c:pt idx="95">
                  <c:v>2.16</c:v>
                </c:pt>
                <c:pt idx="96">
                  <c:v>2.16</c:v>
                </c:pt>
                <c:pt idx="97">
                  <c:v>2.16</c:v>
                </c:pt>
                <c:pt idx="98">
                  <c:v>2.16</c:v>
                </c:pt>
                <c:pt idx="99">
                  <c:v>2.16</c:v>
                </c:pt>
                <c:pt idx="100">
                  <c:v>2.16</c:v>
                </c:pt>
                <c:pt idx="101">
                  <c:v>2.16</c:v>
                </c:pt>
                <c:pt idx="102">
                  <c:v>2.16</c:v>
                </c:pt>
                <c:pt idx="103">
                  <c:v>2.16</c:v>
                </c:pt>
                <c:pt idx="104">
                  <c:v>2.16</c:v>
                </c:pt>
                <c:pt idx="105">
                  <c:v>2.16</c:v>
                </c:pt>
                <c:pt idx="106">
                  <c:v>2.16</c:v>
                </c:pt>
                <c:pt idx="107">
                  <c:v>2.16</c:v>
                </c:pt>
                <c:pt idx="108">
                  <c:v>2.16</c:v>
                </c:pt>
                <c:pt idx="109">
                  <c:v>2.16</c:v>
                </c:pt>
                <c:pt idx="110">
                  <c:v>2.16</c:v>
                </c:pt>
                <c:pt idx="111">
                  <c:v>2.16</c:v>
                </c:pt>
                <c:pt idx="112">
                  <c:v>2.16</c:v>
                </c:pt>
                <c:pt idx="113">
                  <c:v>2.16</c:v>
                </c:pt>
                <c:pt idx="114">
                  <c:v>2.16</c:v>
                </c:pt>
                <c:pt idx="115">
                  <c:v>2.16</c:v>
                </c:pt>
                <c:pt idx="116">
                  <c:v>2.16</c:v>
                </c:pt>
                <c:pt idx="117">
                  <c:v>2.16</c:v>
                </c:pt>
                <c:pt idx="118">
                  <c:v>2.16</c:v>
                </c:pt>
                <c:pt idx="119">
                  <c:v>2.16</c:v>
                </c:pt>
                <c:pt idx="120">
                  <c:v>2.16</c:v>
                </c:pt>
              </c:numCache>
            </c:numRef>
          </c:yVal>
          <c:smooth val="0"/>
          <c:extLst>
            <c:ext xmlns:c16="http://schemas.microsoft.com/office/drawing/2014/chart" uri="{C3380CC4-5D6E-409C-BE32-E72D297353CC}">
              <c16:uniqueId val="{00000001-A93D-4936-86A6-850381A18650}"/>
            </c:ext>
          </c:extLst>
        </c:ser>
        <c:ser>
          <c:idx val="0"/>
          <c:order val="2"/>
          <c:tx>
            <c:v>Management Allowed Depletion</c:v>
          </c:tx>
          <c:spPr>
            <a:ln w="19050" cap="rnd">
              <a:solidFill>
                <a:srgbClr val="7030A0"/>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8'!$AN$11:$AN$131</c:f>
              <c:numCache>
                <c:formatCode>0.00</c:formatCode>
                <c:ptCount val="121"/>
                <c:pt idx="0">
                  <c:v>0.189</c:v>
                </c:pt>
                <c:pt idx="1">
                  <c:v>0.189</c:v>
                </c:pt>
                <c:pt idx="2">
                  <c:v>0.189</c:v>
                </c:pt>
                <c:pt idx="3">
                  <c:v>0.189</c:v>
                </c:pt>
                <c:pt idx="4">
                  <c:v>0.189</c:v>
                </c:pt>
                <c:pt idx="5">
                  <c:v>0.189</c:v>
                </c:pt>
                <c:pt idx="6">
                  <c:v>0.189</c:v>
                </c:pt>
                <c:pt idx="7">
                  <c:v>0.189</c:v>
                </c:pt>
                <c:pt idx="8">
                  <c:v>0.189</c:v>
                </c:pt>
                <c:pt idx="9">
                  <c:v>0.189</c:v>
                </c:pt>
                <c:pt idx="10">
                  <c:v>0.189</c:v>
                </c:pt>
                <c:pt idx="11">
                  <c:v>0.189</c:v>
                </c:pt>
                <c:pt idx="12">
                  <c:v>0.189</c:v>
                </c:pt>
                <c:pt idx="13">
                  <c:v>0.189</c:v>
                </c:pt>
                <c:pt idx="14">
                  <c:v>0.189</c:v>
                </c:pt>
                <c:pt idx="15">
                  <c:v>0.19705654632448891</c:v>
                </c:pt>
                <c:pt idx="16">
                  <c:v>0.20626402783819053</c:v>
                </c:pt>
                <c:pt idx="17">
                  <c:v>0.21547150935189213</c:v>
                </c:pt>
                <c:pt idx="18">
                  <c:v>0.22467899086559379</c:v>
                </c:pt>
                <c:pt idx="19">
                  <c:v>0.23388647237929544</c:v>
                </c:pt>
                <c:pt idx="20">
                  <c:v>0.24309395389299704</c:v>
                </c:pt>
                <c:pt idx="21">
                  <c:v>0.25230143540669858</c:v>
                </c:pt>
                <c:pt idx="22">
                  <c:v>0.26342714223575481</c:v>
                </c:pt>
                <c:pt idx="23">
                  <c:v>0.27877294475859082</c:v>
                </c:pt>
                <c:pt idx="24">
                  <c:v>0.29411874728142678</c:v>
                </c:pt>
                <c:pt idx="25">
                  <c:v>0.30946454980426286</c:v>
                </c:pt>
                <c:pt idx="26">
                  <c:v>0.32481035232709893</c:v>
                </c:pt>
                <c:pt idx="27">
                  <c:v>0.34015615484993489</c:v>
                </c:pt>
                <c:pt idx="28">
                  <c:v>0.3555019573727709</c:v>
                </c:pt>
                <c:pt idx="29">
                  <c:v>0.37084775989560698</c:v>
                </c:pt>
                <c:pt idx="30">
                  <c:v>0.38849543279686827</c:v>
                </c:pt>
                <c:pt idx="31">
                  <c:v>0.40691039582427158</c:v>
                </c:pt>
                <c:pt idx="32">
                  <c:v>0.42532535885167466</c:v>
                </c:pt>
                <c:pt idx="33">
                  <c:v>0.44374032187907797</c:v>
                </c:pt>
                <c:pt idx="34">
                  <c:v>0.46215528490648128</c:v>
                </c:pt>
                <c:pt idx="35">
                  <c:v>0.48057024793388448</c:v>
                </c:pt>
                <c:pt idx="36">
                  <c:v>0.49898521096128767</c:v>
                </c:pt>
                <c:pt idx="37">
                  <c:v>0.51797564158329723</c:v>
                </c:pt>
                <c:pt idx="38">
                  <c:v>0.5394597651152675</c:v>
                </c:pt>
                <c:pt idx="39">
                  <c:v>0.56094388864723799</c:v>
                </c:pt>
                <c:pt idx="40">
                  <c:v>0.58242801217920837</c:v>
                </c:pt>
                <c:pt idx="41">
                  <c:v>0.60391213571117874</c:v>
                </c:pt>
                <c:pt idx="42">
                  <c:v>0.62539625924314945</c:v>
                </c:pt>
                <c:pt idx="43">
                  <c:v>0.64688038277511972</c:v>
                </c:pt>
                <c:pt idx="44">
                  <c:v>0.66836450630709021</c:v>
                </c:pt>
                <c:pt idx="45">
                  <c:v>0.69176685515441505</c:v>
                </c:pt>
                <c:pt idx="46">
                  <c:v>0.71632013919095261</c:v>
                </c:pt>
                <c:pt idx="47">
                  <c:v>0.74087342322749039</c:v>
                </c:pt>
                <c:pt idx="48">
                  <c:v>0.76542670726402795</c:v>
                </c:pt>
                <c:pt idx="49">
                  <c:v>0.78997999130056551</c:v>
                </c:pt>
                <c:pt idx="50">
                  <c:v>0.81453327533710329</c:v>
                </c:pt>
                <c:pt idx="51">
                  <c:v>0.83908655937364096</c:v>
                </c:pt>
                <c:pt idx="52">
                  <c:v>0.86383166594171412</c:v>
                </c:pt>
                <c:pt idx="53">
                  <c:v>0.89145411048281897</c:v>
                </c:pt>
                <c:pt idx="54">
                  <c:v>0.91907655502392382</c:v>
                </c:pt>
                <c:pt idx="55">
                  <c:v>0.94669899956502834</c:v>
                </c:pt>
                <c:pt idx="56">
                  <c:v>0.97432144410613342</c:v>
                </c:pt>
                <c:pt idx="57">
                  <c:v>1.0019438886472383</c:v>
                </c:pt>
                <c:pt idx="58">
                  <c:v>1.0295663331883431</c:v>
                </c:pt>
                <c:pt idx="59">
                  <c:v>1.0571887777294477</c:v>
                </c:pt>
                <c:pt idx="60">
                  <c:v>1.0848112222705524</c:v>
                </c:pt>
                <c:pt idx="61">
                  <c:v>1.1124336668116572</c:v>
                </c:pt>
                <c:pt idx="62">
                  <c:v>1.1400561113527623</c:v>
                </c:pt>
                <c:pt idx="63">
                  <c:v>1.1676785558938669</c:v>
                </c:pt>
                <c:pt idx="64">
                  <c:v>1.195301000434972</c:v>
                </c:pt>
                <c:pt idx="65">
                  <c:v>1.2229234449760766</c:v>
                </c:pt>
                <c:pt idx="66">
                  <c:v>1.2505458895171813</c:v>
                </c:pt>
                <c:pt idx="67">
                  <c:v>1.2781683340582863</c:v>
                </c:pt>
                <c:pt idx="68">
                  <c:v>1.3086681165724228</c:v>
                </c:pt>
                <c:pt idx="69">
                  <c:v>1.339359721618095</c:v>
                </c:pt>
                <c:pt idx="70">
                  <c:v>1.3700513266637671</c:v>
                </c:pt>
                <c:pt idx="71">
                  <c:v>1.4007429317094391</c:v>
                </c:pt>
                <c:pt idx="72">
                  <c:v>1.4314345367551109</c:v>
                </c:pt>
                <c:pt idx="73">
                  <c:v>1.4621261418007829</c:v>
                </c:pt>
                <c:pt idx="74">
                  <c:v>1.4928177468464552</c:v>
                </c:pt>
                <c:pt idx="75">
                  <c:v>1.512</c:v>
                </c:pt>
                <c:pt idx="76">
                  <c:v>1.512</c:v>
                </c:pt>
                <c:pt idx="77">
                  <c:v>1.512</c:v>
                </c:pt>
                <c:pt idx="78">
                  <c:v>1.512</c:v>
                </c:pt>
                <c:pt idx="79">
                  <c:v>1.512</c:v>
                </c:pt>
                <c:pt idx="80">
                  <c:v>1.512</c:v>
                </c:pt>
                <c:pt idx="81">
                  <c:v>1.512</c:v>
                </c:pt>
                <c:pt idx="82">
                  <c:v>1.512</c:v>
                </c:pt>
                <c:pt idx="83">
                  <c:v>1.512</c:v>
                </c:pt>
                <c:pt idx="84">
                  <c:v>1.512</c:v>
                </c:pt>
                <c:pt idx="85">
                  <c:v>1.512</c:v>
                </c:pt>
                <c:pt idx="86">
                  <c:v>1.512</c:v>
                </c:pt>
                <c:pt idx="87">
                  <c:v>1.512</c:v>
                </c:pt>
                <c:pt idx="88">
                  <c:v>1.512</c:v>
                </c:pt>
                <c:pt idx="89">
                  <c:v>1.512</c:v>
                </c:pt>
                <c:pt idx="90">
                  <c:v>1.512</c:v>
                </c:pt>
                <c:pt idx="91">
                  <c:v>1.512</c:v>
                </c:pt>
                <c:pt idx="92">
                  <c:v>1.512</c:v>
                </c:pt>
                <c:pt idx="93">
                  <c:v>1.512</c:v>
                </c:pt>
                <c:pt idx="94">
                  <c:v>1.512</c:v>
                </c:pt>
                <c:pt idx="95">
                  <c:v>1.512</c:v>
                </c:pt>
                <c:pt idx="96">
                  <c:v>1.512</c:v>
                </c:pt>
                <c:pt idx="97">
                  <c:v>1.512</c:v>
                </c:pt>
                <c:pt idx="98">
                  <c:v>1.512</c:v>
                </c:pt>
                <c:pt idx="99">
                  <c:v>1.512</c:v>
                </c:pt>
                <c:pt idx="100">
                  <c:v>1.512</c:v>
                </c:pt>
                <c:pt idx="101">
                  <c:v>1.512</c:v>
                </c:pt>
                <c:pt idx="102">
                  <c:v>1.512</c:v>
                </c:pt>
                <c:pt idx="103">
                  <c:v>1.512</c:v>
                </c:pt>
                <c:pt idx="104">
                  <c:v>1.512</c:v>
                </c:pt>
                <c:pt idx="105">
                  <c:v>1.512</c:v>
                </c:pt>
                <c:pt idx="106">
                  <c:v>1.512</c:v>
                </c:pt>
                <c:pt idx="107">
                  <c:v>1.512</c:v>
                </c:pt>
                <c:pt idx="108">
                  <c:v>1.512</c:v>
                </c:pt>
                <c:pt idx="109">
                  <c:v>1.512</c:v>
                </c:pt>
                <c:pt idx="110">
                  <c:v>1.512</c:v>
                </c:pt>
                <c:pt idx="111">
                  <c:v>1.512</c:v>
                </c:pt>
                <c:pt idx="112">
                  <c:v>1.512</c:v>
                </c:pt>
                <c:pt idx="113">
                  <c:v>1.512</c:v>
                </c:pt>
                <c:pt idx="114">
                  <c:v>1.512</c:v>
                </c:pt>
                <c:pt idx="115">
                  <c:v>1.512</c:v>
                </c:pt>
                <c:pt idx="116">
                  <c:v>1.512</c:v>
                </c:pt>
                <c:pt idx="117">
                  <c:v>1.512</c:v>
                </c:pt>
                <c:pt idx="118">
                  <c:v>1.512</c:v>
                </c:pt>
                <c:pt idx="119">
                  <c:v>1.512</c:v>
                </c:pt>
                <c:pt idx="120">
                  <c:v>1.512</c:v>
                </c:pt>
              </c:numCache>
            </c:numRef>
          </c:yVal>
          <c:smooth val="0"/>
          <c:extLst>
            <c:ext xmlns:c16="http://schemas.microsoft.com/office/drawing/2014/chart" uri="{C3380CC4-5D6E-409C-BE32-E72D297353CC}">
              <c16:uniqueId val="{00000002-A93D-4936-86A6-850381A18650}"/>
            </c:ext>
          </c:extLst>
        </c:ser>
        <c:dLbls>
          <c:showLegendKey val="0"/>
          <c:showVal val="0"/>
          <c:showCatName val="0"/>
          <c:showSerName val="0"/>
          <c:showPercent val="0"/>
          <c:showBubbleSize val="0"/>
        </c:dLbls>
        <c:axId val="180171840"/>
        <c:axId val="180172992"/>
      </c:scatterChart>
      <c:valAx>
        <c:axId val="180171840"/>
        <c:scaling>
          <c:orientation val="minMax"/>
          <c:max val="42275"/>
          <c:min val="4215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72992"/>
        <c:crosses val="autoZero"/>
        <c:crossBetween val="midCat"/>
        <c:majorUnit val="7"/>
      </c:valAx>
      <c:valAx>
        <c:axId val="18017299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171840"/>
        <c:crosses val="autoZero"/>
        <c:crossBetween val="midCat"/>
        <c:majorUnit val="0.2"/>
      </c:valAx>
      <c:spPr>
        <a:noFill/>
        <a:ln w="57150">
          <a:noFill/>
        </a:ln>
        <a:effectLst/>
      </c:spPr>
    </c:plotArea>
    <c:legend>
      <c:legendPos val="r"/>
      <c:layout>
        <c:manualLayout>
          <c:xMode val="edge"/>
          <c:yMode val="edge"/>
          <c:x val="0.89907023583361678"/>
          <c:y val="0.26773084183121054"/>
          <c:w val="7.9433192241783204E-2"/>
          <c:h val="0.435204201196245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Potential</a:t>
            </a:r>
            <a:r>
              <a:rPr lang="en-US" b="1" baseline="0"/>
              <a:t> ET, Actual ET, Crop Coefficient, and Adjusted Crop Coefficient</a:t>
            </a:r>
            <a:endParaRPr lang="en-US" b="1"/>
          </a:p>
        </c:rich>
      </c:tx>
      <c:layout>
        <c:manualLayout>
          <c:xMode val="edge"/>
          <c:yMode val="edge"/>
          <c:x val="0.16987788031719528"/>
          <c:y val="3.45336986604781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154912858360374E-2"/>
          <c:y val="0.12602402180888353"/>
          <c:w val="0.783082179281686"/>
          <c:h val="0.76949361781652104"/>
        </c:manualLayout>
      </c:layout>
      <c:scatterChart>
        <c:scatterStyle val="lineMarker"/>
        <c:varyColors val="0"/>
        <c:ser>
          <c:idx val="3"/>
          <c:order val="1"/>
          <c:tx>
            <c:v>ET actual</c:v>
          </c:tx>
          <c:spPr>
            <a:ln w="19050" cap="rnd">
              <a:solidFill>
                <a:srgbClr val="FFC000"/>
              </a:solidFill>
              <a:prstDash val="solid"/>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8'!$AF$11:$AF$131</c:f>
              <c:numCache>
                <c:formatCode>0.00</c:formatCode>
                <c:ptCount val="121"/>
                <c:pt idx="0">
                  <c:v>4.7500000000000001E-2</c:v>
                </c:pt>
                <c:pt idx="1">
                  <c:v>3.2500000000000001E-2</c:v>
                </c:pt>
                <c:pt idx="2">
                  <c:v>0.03</c:v>
                </c:pt>
                <c:pt idx="3">
                  <c:v>0.02</c:v>
                </c:pt>
                <c:pt idx="4">
                  <c:v>2.2499999999999999E-2</c:v>
                </c:pt>
                <c:pt idx="5">
                  <c:v>0.03</c:v>
                </c:pt>
                <c:pt idx="6">
                  <c:v>2.75E-2</c:v>
                </c:pt>
                <c:pt idx="7">
                  <c:v>2.4735449735449739E-2</c:v>
                </c:pt>
                <c:pt idx="8">
                  <c:v>2.75E-2</c:v>
                </c:pt>
                <c:pt idx="9">
                  <c:v>3.7499999999999999E-2</c:v>
                </c:pt>
                <c:pt idx="10">
                  <c:v>6.5000000000000002E-2</c:v>
                </c:pt>
                <c:pt idx="11">
                  <c:v>6.5000000000000002E-2</c:v>
                </c:pt>
                <c:pt idx="12">
                  <c:v>6.7500000000000004E-2</c:v>
                </c:pt>
                <c:pt idx="13">
                  <c:v>4.5469576719576722E-2</c:v>
                </c:pt>
                <c:pt idx="14">
                  <c:v>4.260667744464041E-2</c:v>
                </c:pt>
                <c:pt idx="15">
                  <c:v>7.3506611570247932E-2</c:v>
                </c:pt>
                <c:pt idx="16">
                  <c:v>7.7231404958677682E-2</c:v>
                </c:pt>
                <c:pt idx="17">
                  <c:v>8.3649586776859519E-2</c:v>
                </c:pt>
                <c:pt idx="18">
                  <c:v>8.4919008264462817E-2</c:v>
                </c:pt>
                <c:pt idx="19">
                  <c:v>6.4641322314049579E-2</c:v>
                </c:pt>
                <c:pt idx="20">
                  <c:v>7.3792561983471089E-2</c:v>
                </c:pt>
                <c:pt idx="21">
                  <c:v>6.3431849331653842E-2</c:v>
                </c:pt>
                <c:pt idx="22">
                  <c:v>6.4875206611570271E-2</c:v>
                </c:pt>
                <c:pt idx="23">
                  <c:v>6.9282644628099188E-2</c:v>
                </c:pt>
                <c:pt idx="24">
                  <c:v>7.0869421487603307E-2</c:v>
                </c:pt>
                <c:pt idx="25">
                  <c:v>7.2456198347107439E-2</c:v>
                </c:pt>
                <c:pt idx="26">
                  <c:v>7.4042975206611586E-2</c:v>
                </c:pt>
                <c:pt idx="27">
                  <c:v>9.7688429752066139E-2</c:v>
                </c:pt>
                <c:pt idx="28">
                  <c:v>9.4302696790139626E-2</c:v>
                </c:pt>
                <c:pt idx="29">
                  <c:v>9.8504132231404973E-2</c:v>
                </c:pt>
                <c:pt idx="30">
                  <c:v>0.10078512396694213</c:v>
                </c:pt>
                <c:pt idx="31">
                  <c:v>9.6287603305785133E-2</c:v>
                </c:pt>
                <c:pt idx="32">
                  <c:v>0.1020272727272727</c:v>
                </c:pt>
                <c:pt idx="33">
                  <c:v>0.11871818181818181</c:v>
                </c:pt>
                <c:pt idx="34">
                  <c:v>7.353719008264463E-2</c:v>
                </c:pt>
                <c:pt idx="35">
                  <c:v>9.3904958677685946E-2</c:v>
                </c:pt>
                <c:pt idx="36">
                  <c:v>8.4329475234524401E-2</c:v>
                </c:pt>
                <c:pt idx="37">
                  <c:v>3.6726777568342008E-2</c:v>
                </c:pt>
                <c:pt idx="38">
                  <c:v>0.10024793388429752</c:v>
                </c:pt>
                <c:pt idx="39">
                  <c:v>0.12717685950413224</c:v>
                </c:pt>
                <c:pt idx="40">
                  <c:v>0.13424132231404959</c:v>
                </c:pt>
                <c:pt idx="41">
                  <c:v>0.12862809917355372</c:v>
                </c:pt>
                <c:pt idx="42">
                  <c:v>0.10512396694214876</c:v>
                </c:pt>
                <c:pt idx="43">
                  <c:v>9.9975003141398164E-2</c:v>
                </c:pt>
                <c:pt idx="44">
                  <c:v>7.3158048579335944E-2</c:v>
                </c:pt>
                <c:pt idx="45">
                  <c:v>0.11198677685950413</c:v>
                </c:pt>
                <c:pt idx="46">
                  <c:v>7.6350413223140498E-2</c:v>
                </c:pt>
                <c:pt idx="47">
                  <c:v>8.2920661157024803E-2</c:v>
                </c:pt>
                <c:pt idx="48">
                  <c:v>0.11960330578512397</c:v>
                </c:pt>
                <c:pt idx="49">
                  <c:v>9.1606611570247909E-2</c:v>
                </c:pt>
                <c:pt idx="50">
                  <c:v>0.11948595041322313</c:v>
                </c:pt>
                <c:pt idx="51">
                  <c:v>0.16366803773104757</c:v>
                </c:pt>
                <c:pt idx="52">
                  <c:v>0.11100264604413144</c:v>
                </c:pt>
                <c:pt idx="53">
                  <c:v>0.10883946058041834</c:v>
                </c:pt>
                <c:pt idx="54">
                  <c:v>0.16936363636363636</c:v>
                </c:pt>
                <c:pt idx="55">
                  <c:v>0.19599173553719007</c:v>
                </c:pt>
                <c:pt idx="56">
                  <c:v>0.10001900826446281</c:v>
                </c:pt>
                <c:pt idx="57">
                  <c:v>0.1440595041322314</c:v>
                </c:pt>
                <c:pt idx="58">
                  <c:v>0.15303719008264463</c:v>
                </c:pt>
                <c:pt idx="59">
                  <c:v>0.16849338842975209</c:v>
                </c:pt>
                <c:pt idx="60">
                  <c:v>0.17170661157024794</c:v>
                </c:pt>
                <c:pt idx="61">
                  <c:v>0.1684413223140496</c:v>
                </c:pt>
                <c:pt idx="62">
                  <c:v>0.20452314049586776</c:v>
                </c:pt>
                <c:pt idx="63">
                  <c:v>4.7015702479338853E-2</c:v>
                </c:pt>
                <c:pt idx="64">
                  <c:v>0.15721735537190085</c:v>
                </c:pt>
                <c:pt idx="65">
                  <c:v>0.17386363636363636</c:v>
                </c:pt>
                <c:pt idx="66">
                  <c:v>0.16976528925619833</c:v>
                </c:pt>
                <c:pt idx="67">
                  <c:v>7.911818181818181E-2</c:v>
                </c:pt>
                <c:pt idx="68">
                  <c:v>0.13915537190082647</c:v>
                </c:pt>
                <c:pt idx="69">
                  <c:v>0.1714925619834711</c:v>
                </c:pt>
                <c:pt idx="70">
                  <c:v>0.14418016528925623</c:v>
                </c:pt>
                <c:pt idx="71">
                  <c:v>0.18529586776859502</c:v>
                </c:pt>
                <c:pt idx="72">
                  <c:v>0.17276363636363637</c:v>
                </c:pt>
                <c:pt idx="73">
                  <c:v>0.19164297520661158</c:v>
                </c:pt>
                <c:pt idx="74">
                  <c:v>0.21105123966942152</c:v>
                </c:pt>
                <c:pt idx="75">
                  <c:v>0.19703801652892561</c:v>
                </c:pt>
                <c:pt idx="76">
                  <c:v>0.15582836964688204</c:v>
                </c:pt>
                <c:pt idx="77">
                  <c:v>0.1648162658562034</c:v>
                </c:pt>
                <c:pt idx="78">
                  <c:v>0.19065289256198348</c:v>
                </c:pt>
                <c:pt idx="79">
                  <c:v>0.1746297520661157</c:v>
                </c:pt>
                <c:pt idx="80">
                  <c:v>0.18352727272727273</c:v>
                </c:pt>
                <c:pt idx="81">
                  <c:v>0.22595206611570248</c:v>
                </c:pt>
                <c:pt idx="82">
                  <c:v>0.1846909090909091</c:v>
                </c:pt>
                <c:pt idx="83">
                  <c:v>0.17414380165289259</c:v>
                </c:pt>
                <c:pt idx="84">
                  <c:v>0.18768760330578516</c:v>
                </c:pt>
                <c:pt idx="85">
                  <c:v>0.19267438016528926</c:v>
                </c:pt>
                <c:pt idx="86">
                  <c:v>7.895867768595044E-2</c:v>
                </c:pt>
                <c:pt idx="87">
                  <c:v>0.15527272727272734</c:v>
                </c:pt>
                <c:pt idx="88">
                  <c:v>0.16025950413223145</c:v>
                </c:pt>
                <c:pt idx="89">
                  <c:v>0.18747933884297524</c:v>
                </c:pt>
                <c:pt idx="90">
                  <c:v>0.18359504132231397</c:v>
                </c:pt>
                <c:pt idx="91">
                  <c:v>0.14949917355371894</c:v>
                </c:pt>
                <c:pt idx="92">
                  <c:v>0.15167272727272724</c:v>
                </c:pt>
                <c:pt idx="93">
                  <c:v>0.24676859504132226</c:v>
                </c:pt>
                <c:pt idx="94">
                  <c:v>0.22556198347107417</c:v>
                </c:pt>
                <c:pt idx="95">
                  <c:v>0.18037520661157008</c:v>
                </c:pt>
                <c:pt idx="96">
                  <c:v>0.11990082644628092</c:v>
                </c:pt>
                <c:pt idx="97">
                  <c:v>9.23239669421487E-2</c:v>
                </c:pt>
                <c:pt idx="98">
                  <c:v>0.11072727272727274</c:v>
                </c:pt>
                <c:pt idx="99">
                  <c:v>9.5370247933884308E-2</c:v>
                </c:pt>
                <c:pt idx="100">
                  <c:v>0.10120661157024786</c:v>
                </c:pt>
                <c:pt idx="101">
                  <c:v>9.6446280991735564E-2</c:v>
                </c:pt>
                <c:pt idx="102">
                  <c:v>8.7101652892561915E-2</c:v>
                </c:pt>
                <c:pt idx="103">
                  <c:v>8.2579338842975233E-2</c:v>
                </c:pt>
                <c:pt idx="104">
                  <c:v>6.5732231404958624E-2</c:v>
                </c:pt>
                <c:pt idx="105">
                  <c:v>5.0377685950413191E-2</c:v>
                </c:pt>
                <c:pt idx="106">
                  <c:v>3.3091735537190074E-2</c:v>
                </c:pt>
                <c:pt idx="107">
                  <c:v>1.3914049586776845E-2</c:v>
                </c:pt>
                <c:pt idx="108">
                  <c:v>2.6241322314049569E-2</c:v>
                </c:pt>
                <c:pt idx="109">
                  <c:v>4.0063636363636301E-2</c:v>
                </c:pt>
                <c:pt idx="110">
                  <c:v>4.0368595041322265E-2</c:v>
                </c:pt>
                <c:pt idx="111">
                  <c:v>4.0276859504132199E-2</c:v>
                </c:pt>
                <c:pt idx="112">
                  <c:v>3.7301652892561911E-2</c:v>
                </c:pt>
                <c:pt idx="113">
                  <c:v>3.7923966942148758E-2</c:v>
                </c:pt>
                <c:pt idx="114">
                  <c:v>3.4760330578512383E-2</c:v>
                </c:pt>
                <c:pt idx="115">
                  <c:v>3.3966942148760337E-2</c:v>
                </c:pt>
                <c:pt idx="116">
                  <c:v>3.5385123966942163E-2</c:v>
                </c:pt>
                <c:pt idx="117">
                  <c:v>3.8856198347107435E-2</c:v>
                </c:pt>
                <c:pt idx="118">
                  <c:v>3.7904132231404958E-2</c:v>
                </c:pt>
                <c:pt idx="119">
                  <c:v>3.0793388429752055E-2</c:v>
                </c:pt>
                <c:pt idx="120">
                  <c:v>0.03</c:v>
                </c:pt>
              </c:numCache>
            </c:numRef>
          </c:yVal>
          <c:smooth val="0"/>
          <c:extLst>
            <c:ext xmlns:c16="http://schemas.microsoft.com/office/drawing/2014/chart" uri="{C3380CC4-5D6E-409C-BE32-E72D297353CC}">
              <c16:uniqueId val="{00000000-D1D2-4DE2-822F-8221148E0F07}"/>
            </c:ext>
          </c:extLst>
        </c:ser>
        <c:ser>
          <c:idx val="1"/>
          <c:order val="2"/>
          <c:tx>
            <c:v>Potential ET</c:v>
          </c:tx>
          <c:spPr>
            <a:ln w="19050" cap="rnd">
              <a:solidFill>
                <a:schemeClr val="accent2"/>
              </a:solidFill>
              <a:prstDash val="dash"/>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8'!$AE$11:$AE$131</c:f>
              <c:numCache>
                <c:formatCode>0.00</c:formatCode>
                <c:ptCount val="121"/>
                <c:pt idx="0">
                  <c:v>4.7500000000000001E-2</c:v>
                </c:pt>
                <c:pt idx="1">
                  <c:v>3.2500000000000001E-2</c:v>
                </c:pt>
                <c:pt idx="2">
                  <c:v>0.03</c:v>
                </c:pt>
                <c:pt idx="3">
                  <c:v>0.02</c:v>
                </c:pt>
                <c:pt idx="4">
                  <c:v>2.2499999999999999E-2</c:v>
                </c:pt>
                <c:pt idx="5">
                  <c:v>0.03</c:v>
                </c:pt>
                <c:pt idx="6">
                  <c:v>2.75E-2</c:v>
                </c:pt>
                <c:pt idx="7">
                  <c:v>2.75E-2</c:v>
                </c:pt>
                <c:pt idx="8">
                  <c:v>2.75E-2</c:v>
                </c:pt>
                <c:pt idx="9">
                  <c:v>3.7499999999999999E-2</c:v>
                </c:pt>
                <c:pt idx="10">
                  <c:v>6.5000000000000002E-2</c:v>
                </c:pt>
                <c:pt idx="11">
                  <c:v>6.5000000000000002E-2</c:v>
                </c:pt>
                <c:pt idx="12">
                  <c:v>6.7500000000000004E-2</c:v>
                </c:pt>
                <c:pt idx="13">
                  <c:v>6.25E-2</c:v>
                </c:pt>
                <c:pt idx="14">
                  <c:v>8.7499999999999994E-2</c:v>
                </c:pt>
                <c:pt idx="15">
                  <c:v>7.3506611570247932E-2</c:v>
                </c:pt>
                <c:pt idx="16">
                  <c:v>7.7231404958677682E-2</c:v>
                </c:pt>
                <c:pt idx="17">
                  <c:v>8.3649586776859519E-2</c:v>
                </c:pt>
                <c:pt idx="18">
                  <c:v>8.4919008264462817E-2</c:v>
                </c:pt>
                <c:pt idx="19">
                  <c:v>6.4641322314049579E-2</c:v>
                </c:pt>
                <c:pt idx="20">
                  <c:v>7.3792561983471089E-2</c:v>
                </c:pt>
                <c:pt idx="21">
                  <c:v>7.2090909090909094E-2</c:v>
                </c:pt>
                <c:pt idx="22">
                  <c:v>6.4875206611570271E-2</c:v>
                </c:pt>
                <c:pt idx="23">
                  <c:v>6.9282644628099188E-2</c:v>
                </c:pt>
                <c:pt idx="24">
                  <c:v>7.0869421487603307E-2</c:v>
                </c:pt>
                <c:pt idx="25">
                  <c:v>7.2456198347107439E-2</c:v>
                </c:pt>
                <c:pt idx="26">
                  <c:v>7.4042975206611586E-2</c:v>
                </c:pt>
                <c:pt idx="27">
                  <c:v>9.7688429752066139E-2</c:v>
                </c:pt>
                <c:pt idx="28">
                  <c:v>9.9738016528925652E-2</c:v>
                </c:pt>
                <c:pt idx="29">
                  <c:v>9.8504132231404973E-2</c:v>
                </c:pt>
                <c:pt idx="30">
                  <c:v>0.10078512396694213</c:v>
                </c:pt>
                <c:pt idx="31">
                  <c:v>9.6287603305785133E-2</c:v>
                </c:pt>
                <c:pt idx="32">
                  <c:v>0.1020272727272727</c:v>
                </c:pt>
                <c:pt idx="33">
                  <c:v>0.11871818181818181</c:v>
                </c:pt>
                <c:pt idx="34">
                  <c:v>7.353719008264463E-2</c:v>
                </c:pt>
                <c:pt idx="35">
                  <c:v>9.3904958677685946E-2</c:v>
                </c:pt>
                <c:pt idx="36">
                  <c:v>8.4381818181818183E-2</c:v>
                </c:pt>
                <c:pt idx="37">
                  <c:v>4.3090909090909096E-2</c:v>
                </c:pt>
                <c:pt idx="38">
                  <c:v>0.10024793388429752</c:v>
                </c:pt>
                <c:pt idx="39">
                  <c:v>0.12717685950413224</c:v>
                </c:pt>
                <c:pt idx="40">
                  <c:v>0.13424132231404959</c:v>
                </c:pt>
                <c:pt idx="41">
                  <c:v>0.12862809917355372</c:v>
                </c:pt>
                <c:pt idx="42">
                  <c:v>0.10512396694214876</c:v>
                </c:pt>
                <c:pt idx="43">
                  <c:v>0.11629090909090911</c:v>
                </c:pt>
                <c:pt idx="44">
                  <c:v>0.10043636363636364</c:v>
                </c:pt>
                <c:pt idx="45">
                  <c:v>0.11198677685950413</c:v>
                </c:pt>
                <c:pt idx="46">
                  <c:v>7.6350413223140498E-2</c:v>
                </c:pt>
                <c:pt idx="47">
                  <c:v>8.2920661157024803E-2</c:v>
                </c:pt>
                <c:pt idx="48">
                  <c:v>0.11960330578512397</c:v>
                </c:pt>
                <c:pt idx="49">
                  <c:v>9.1606611570247909E-2</c:v>
                </c:pt>
                <c:pt idx="50">
                  <c:v>0.11948595041322313</c:v>
                </c:pt>
                <c:pt idx="51">
                  <c:v>0.17492727272727274</c:v>
                </c:pt>
                <c:pt idx="52">
                  <c:v>0.14600082644628101</c:v>
                </c:pt>
                <c:pt idx="53">
                  <c:v>0.16579338842975208</c:v>
                </c:pt>
                <c:pt idx="54">
                  <c:v>0.16936363636363636</c:v>
                </c:pt>
                <c:pt idx="55">
                  <c:v>0.19599173553719007</c:v>
                </c:pt>
                <c:pt idx="56">
                  <c:v>0.10001900826446281</c:v>
                </c:pt>
                <c:pt idx="57">
                  <c:v>0.1440595041322314</c:v>
                </c:pt>
                <c:pt idx="58">
                  <c:v>0.15303719008264463</c:v>
                </c:pt>
                <c:pt idx="59">
                  <c:v>0.16849338842975209</c:v>
                </c:pt>
                <c:pt idx="60">
                  <c:v>0.17170661157024794</c:v>
                </c:pt>
                <c:pt idx="61">
                  <c:v>0.1684413223140496</c:v>
                </c:pt>
                <c:pt idx="62">
                  <c:v>0.20452314049586776</c:v>
                </c:pt>
                <c:pt idx="63">
                  <c:v>4.7015702479338853E-2</c:v>
                </c:pt>
                <c:pt idx="64">
                  <c:v>0.15721735537190085</c:v>
                </c:pt>
                <c:pt idx="65">
                  <c:v>0.17386363636363636</c:v>
                </c:pt>
                <c:pt idx="66">
                  <c:v>0.16976528925619833</c:v>
                </c:pt>
                <c:pt idx="67">
                  <c:v>7.911818181818181E-2</c:v>
                </c:pt>
                <c:pt idx="68">
                  <c:v>0.13915537190082647</c:v>
                </c:pt>
                <c:pt idx="69">
                  <c:v>0.1714925619834711</c:v>
                </c:pt>
                <c:pt idx="70">
                  <c:v>0.14418016528925623</c:v>
                </c:pt>
                <c:pt idx="71">
                  <c:v>0.18529586776859502</c:v>
                </c:pt>
                <c:pt idx="72">
                  <c:v>0.17276363636363637</c:v>
                </c:pt>
                <c:pt idx="73">
                  <c:v>0.19164297520661158</c:v>
                </c:pt>
                <c:pt idx="74">
                  <c:v>0.21105123966942152</c:v>
                </c:pt>
                <c:pt idx="75">
                  <c:v>0.19703801652892561</c:v>
                </c:pt>
                <c:pt idx="76">
                  <c:v>0.17296363636363635</c:v>
                </c:pt>
                <c:pt idx="77">
                  <c:v>0.20657024793388429</c:v>
                </c:pt>
                <c:pt idx="78">
                  <c:v>0.19065289256198348</c:v>
                </c:pt>
                <c:pt idx="79">
                  <c:v>0.1746297520661157</c:v>
                </c:pt>
                <c:pt idx="80">
                  <c:v>0.18352727272727273</c:v>
                </c:pt>
                <c:pt idx="81">
                  <c:v>0.22595206611570248</c:v>
                </c:pt>
                <c:pt idx="82">
                  <c:v>0.1846909090909091</c:v>
                </c:pt>
                <c:pt idx="83">
                  <c:v>0.17414380165289259</c:v>
                </c:pt>
                <c:pt idx="84">
                  <c:v>0.18768760330578516</c:v>
                </c:pt>
                <c:pt idx="85">
                  <c:v>0.19267438016528926</c:v>
                </c:pt>
                <c:pt idx="86">
                  <c:v>7.895867768595044E-2</c:v>
                </c:pt>
                <c:pt idx="87">
                  <c:v>0.15527272727272734</c:v>
                </c:pt>
                <c:pt idx="88">
                  <c:v>0.16025950413223145</c:v>
                </c:pt>
                <c:pt idx="89">
                  <c:v>0.18747933884297524</c:v>
                </c:pt>
                <c:pt idx="90">
                  <c:v>0.18359504132231397</c:v>
                </c:pt>
                <c:pt idx="91">
                  <c:v>0.14949917355371894</c:v>
                </c:pt>
                <c:pt idx="92">
                  <c:v>0.15167272727272724</c:v>
                </c:pt>
                <c:pt idx="93">
                  <c:v>0.24676859504132226</c:v>
                </c:pt>
                <c:pt idx="94">
                  <c:v>0.22556198347107417</c:v>
                </c:pt>
                <c:pt idx="95">
                  <c:v>0.18037520661157008</c:v>
                </c:pt>
                <c:pt idx="96">
                  <c:v>0.11990082644628092</c:v>
                </c:pt>
                <c:pt idx="97">
                  <c:v>9.23239669421487E-2</c:v>
                </c:pt>
                <c:pt idx="98">
                  <c:v>0.11072727272727274</c:v>
                </c:pt>
                <c:pt idx="99">
                  <c:v>9.5370247933884308E-2</c:v>
                </c:pt>
                <c:pt idx="100">
                  <c:v>0.10120661157024786</c:v>
                </c:pt>
                <c:pt idx="101">
                  <c:v>9.6446280991735564E-2</c:v>
                </c:pt>
                <c:pt idx="102">
                  <c:v>8.7101652892561915E-2</c:v>
                </c:pt>
                <c:pt idx="103">
                  <c:v>8.2579338842975233E-2</c:v>
                </c:pt>
                <c:pt idx="104">
                  <c:v>6.5732231404958624E-2</c:v>
                </c:pt>
                <c:pt idx="105">
                  <c:v>5.0377685950413191E-2</c:v>
                </c:pt>
                <c:pt idx="106">
                  <c:v>3.3091735537190074E-2</c:v>
                </c:pt>
                <c:pt idx="107">
                  <c:v>1.3914049586776845E-2</c:v>
                </c:pt>
                <c:pt idx="108">
                  <c:v>2.6241322314049569E-2</c:v>
                </c:pt>
                <c:pt idx="109">
                  <c:v>4.0063636363636301E-2</c:v>
                </c:pt>
                <c:pt idx="110">
                  <c:v>4.0368595041322265E-2</c:v>
                </c:pt>
                <c:pt idx="111">
                  <c:v>4.0276859504132199E-2</c:v>
                </c:pt>
                <c:pt idx="112">
                  <c:v>3.7301652892561911E-2</c:v>
                </c:pt>
                <c:pt idx="113">
                  <c:v>3.7923966942148758E-2</c:v>
                </c:pt>
                <c:pt idx="114">
                  <c:v>3.4760330578512383E-2</c:v>
                </c:pt>
                <c:pt idx="115">
                  <c:v>3.3966942148760337E-2</c:v>
                </c:pt>
                <c:pt idx="116">
                  <c:v>3.5385123966942163E-2</c:v>
                </c:pt>
                <c:pt idx="117">
                  <c:v>3.8856198347107435E-2</c:v>
                </c:pt>
                <c:pt idx="118">
                  <c:v>3.7904132231404958E-2</c:v>
                </c:pt>
                <c:pt idx="119">
                  <c:v>3.0793388429752055E-2</c:v>
                </c:pt>
                <c:pt idx="120">
                  <c:v>0.03</c:v>
                </c:pt>
              </c:numCache>
            </c:numRef>
          </c:yVal>
          <c:smooth val="0"/>
          <c:extLst>
            <c:ext xmlns:c16="http://schemas.microsoft.com/office/drawing/2014/chart" uri="{C3380CC4-5D6E-409C-BE32-E72D297353CC}">
              <c16:uniqueId val="{00000001-D1D2-4DE2-822F-8221148E0F07}"/>
            </c:ext>
          </c:extLst>
        </c:ser>
        <c:dLbls>
          <c:showLegendKey val="0"/>
          <c:showVal val="0"/>
          <c:showCatName val="0"/>
          <c:showSerName val="0"/>
          <c:showPercent val="0"/>
          <c:showBubbleSize val="0"/>
        </c:dLbls>
        <c:axId val="210980224"/>
        <c:axId val="210981952"/>
      </c:scatterChart>
      <c:scatterChart>
        <c:scatterStyle val="lineMarker"/>
        <c:varyColors val="0"/>
        <c:ser>
          <c:idx val="2"/>
          <c:order val="0"/>
          <c:tx>
            <c:v>KcKs Adjusted Crop Coefficient</c:v>
          </c:tx>
          <c:spPr>
            <a:ln w="31750" cap="rnd">
              <a:solidFill>
                <a:schemeClr val="accent3"/>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8'!$AD$11:$AD$131</c:f>
              <c:numCache>
                <c:formatCode>0.0</c:formatCode>
                <c:ptCount val="121"/>
                <c:pt idx="0">
                  <c:v>0.25</c:v>
                </c:pt>
                <c:pt idx="1">
                  <c:v>0.25</c:v>
                </c:pt>
                <c:pt idx="2">
                  <c:v>0.25</c:v>
                </c:pt>
                <c:pt idx="3">
                  <c:v>0.25</c:v>
                </c:pt>
                <c:pt idx="4">
                  <c:v>0.25</c:v>
                </c:pt>
                <c:pt idx="5">
                  <c:v>0.25</c:v>
                </c:pt>
                <c:pt idx="6">
                  <c:v>0.25</c:v>
                </c:pt>
                <c:pt idx="7">
                  <c:v>0.22486772486772491</c:v>
                </c:pt>
                <c:pt idx="8">
                  <c:v>0.25</c:v>
                </c:pt>
                <c:pt idx="9">
                  <c:v>0.25</c:v>
                </c:pt>
                <c:pt idx="10">
                  <c:v>0.25</c:v>
                </c:pt>
                <c:pt idx="11">
                  <c:v>0.25</c:v>
                </c:pt>
                <c:pt idx="12">
                  <c:v>0.25</c:v>
                </c:pt>
                <c:pt idx="13">
                  <c:v>0.18187830687830689</c:v>
                </c:pt>
                <c:pt idx="14">
                  <c:v>0.12173336412754404</c:v>
                </c:pt>
                <c:pt idx="15">
                  <c:v>0.25347107438016531</c:v>
                </c:pt>
                <c:pt idx="16">
                  <c:v>0.25743801652892562</c:v>
                </c:pt>
                <c:pt idx="17">
                  <c:v>0.26140495867768598</c:v>
                </c:pt>
                <c:pt idx="18">
                  <c:v>0.26537190082644629</c:v>
                </c:pt>
                <c:pt idx="19">
                  <c:v>0.2693388429752066</c:v>
                </c:pt>
                <c:pt idx="20">
                  <c:v>0.27330578512396697</c:v>
                </c:pt>
                <c:pt idx="21">
                  <c:v>0.2439686512755917</c:v>
                </c:pt>
                <c:pt idx="22">
                  <c:v>0.28206611570247941</c:v>
                </c:pt>
                <c:pt idx="23">
                  <c:v>0.28867768595041332</c:v>
                </c:pt>
                <c:pt idx="24">
                  <c:v>0.29528925619834712</c:v>
                </c:pt>
                <c:pt idx="25">
                  <c:v>0.30190082644628102</c:v>
                </c:pt>
                <c:pt idx="26">
                  <c:v>0.30851239669421493</c:v>
                </c:pt>
                <c:pt idx="27">
                  <c:v>0.31512396694214884</c:v>
                </c:pt>
                <c:pt idx="28">
                  <c:v>0.30420224771012783</c:v>
                </c:pt>
                <c:pt idx="29">
                  <c:v>0.32834710743801659</c:v>
                </c:pt>
                <c:pt idx="30">
                  <c:v>0.33595041322314045</c:v>
                </c:pt>
                <c:pt idx="31">
                  <c:v>0.34388429752066113</c:v>
                </c:pt>
                <c:pt idx="32">
                  <c:v>0.35181818181818175</c:v>
                </c:pt>
                <c:pt idx="33">
                  <c:v>0.35975206611570243</c:v>
                </c:pt>
                <c:pt idx="34">
                  <c:v>0.36768595041322311</c:v>
                </c:pt>
                <c:pt idx="35">
                  <c:v>0.37561983471074378</c:v>
                </c:pt>
                <c:pt idx="36">
                  <c:v>0.38331579652056547</c:v>
                </c:pt>
                <c:pt idx="37">
                  <c:v>0.33387979607583645</c:v>
                </c:pt>
                <c:pt idx="38">
                  <c:v>0.40099173553719009</c:v>
                </c:pt>
                <c:pt idx="39">
                  <c:v>0.41024793388429759</c:v>
                </c:pt>
                <c:pt idx="40">
                  <c:v>0.41950413223140498</c:v>
                </c:pt>
                <c:pt idx="41">
                  <c:v>0.42876033057851243</c:v>
                </c:pt>
                <c:pt idx="42">
                  <c:v>0.43801652892561987</c:v>
                </c:pt>
                <c:pt idx="43">
                  <c:v>0.38451924285153138</c:v>
                </c:pt>
                <c:pt idx="44">
                  <c:v>0.33253658445152701</c:v>
                </c:pt>
                <c:pt idx="45">
                  <c:v>0.46661157024793387</c:v>
                </c:pt>
                <c:pt idx="46">
                  <c:v>0.47719008264462809</c:v>
                </c:pt>
                <c:pt idx="47">
                  <c:v>0.48776859504132231</c:v>
                </c:pt>
                <c:pt idx="48">
                  <c:v>0.49834710743801658</c:v>
                </c:pt>
                <c:pt idx="49">
                  <c:v>0.50892561983471063</c:v>
                </c:pt>
                <c:pt idx="50">
                  <c:v>0.5195041322314049</c:v>
                </c:pt>
                <c:pt idx="51">
                  <c:v>0.49596375070014415</c:v>
                </c:pt>
                <c:pt idx="52">
                  <c:v>0.41112091127456091</c:v>
                </c:pt>
                <c:pt idx="53">
                  <c:v>0.36279820193472778</c:v>
                </c:pt>
                <c:pt idx="54">
                  <c:v>0.56454545454545457</c:v>
                </c:pt>
                <c:pt idx="55">
                  <c:v>0.57644628099173545</c:v>
                </c:pt>
                <c:pt idx="56">
                  <c:v>0.58834710743801644</c:v>
                </c:pt>
                <c:pt idx="57">
                  <c:v>0.60024793388429754</c:v>
                </c:pt>
                <c:pt idx="58">
                  <c:v>0.61214876033057852</c:v>
                </c:pt>
                <c:pt idx="59">
                  <c:v>0.62404958677685951</c:v>
                </c:pt>
                <c:pt idx="60">
                  <c:v>0.6359504132231405</c:v>
                </c:pt>
                <c:pt idx="61">
                  <c:v>0.64785123966942149</c:v>
                </c:pt>
                <c:pt idx="62">
                  <c:v>0.65975206611570247</c:v>
                </c:pt>
                <c:pt idx="63">
                  <c:v>0.67165289256198357</c:v>
                </c:pt>
                <c:pt idx="64">
                  <c:v>0.68355371900826456</c:v>
                </c:pt>
                <c:pt idx="65">
                  <c:v>0.69545454545454544</c:v>
                </c:pt>
                <c:pt idx="66">
                  <c:v>0.70735537190082642</c:v>
                </c:pt>
                <c:pt idx="67">
                  <c:v>0.71925619834710741</c:v>
                </c:pt>
                <c:pt idx="68">
                  <c:v>0.73239669421487608</c:v>
                </c:pt>
                <c:pt idx="69">
                  <c:v>0.74561983471074389</c:v>
                </c:pt>
                <c:pt idx="70">
                  <c:v>0.7588429752066117</c:v>
                </c:pt>
                <c:pt idx="71">
                  <c:v>0.77206611570247929</c:v>
                </c:pt>
                <c:pt idx="72">
                  <c:v>0.78528925619834711</c:v>
                </c:pt>
                <c:pt idx="73">
                  <c:v>0.79851239669421492</c:v>
                </c:pt>
                <c:pt idx="74">
                  <c:v>0.81173553719008273</c:v>
                </c:pt>
                <c:pt idx="75">
                  <c:v>0.82099173553719007</c:v>
                </c:pt>
                <c:pt idx="76">
                  <c:v>0.7420398554613431</c:v>
                </c:pt>
                <c:pt idx="77">
                  <c:v>0.65926506342481361</c:v>
                </c:pt>
                <c:pt idx="78">
                  <c:v>0.82892561983471069</c:v>
                </c:pt>
                <c:pt idx="79">
                  <c:v>0.83157024793388423</c:v>
                </c:pt>
                <c:pt idx="80">
                  <c:v>0.83421487603305788</c:v>
                </c:pt>
                <c:pt idx="81">
                  <c:v>0.83685950413223131</c:v>
                </c:pt>
                <c:pt idx="82">
                  <c:v>0.83950413223140496</c:v>
                </c:pt>
                <c:pt idx="83">
                  <c:v>0.82925619834710762</c:v>
                </c:pt>
                <c:pt idx="84">
                  <c:v>0.81603305785123981</c:v>
                </c:pt>
                <c:pt idx="85">
                  <c:v>0.80280991735537199</c:v>
                </c:pt>
                <c:pt idx="86">
                  <c:v>0.7895867768595044</c:v>
                </c:pt>
                <c:pt idx="87">
                  <c:v>0.77636363636363659</c:v>
                </c:pt>
                <c:pt idx="88">
                  <c:v>0.76314049586776878</c:v>
                </c:pt>
                <c:pt idx="89">
                  <c:v>0.74991735537190096</c:v>
                </c:pt>
                <c:pt idx="90">
                  <c:v>0.73438016528925587</c:v>
                </c:pt>
                <c:pt idx="91">
                  <c:v>0.71190082644628072</c:v>
                </c:pt>
                <c:pt idx="92">
                  <c:v>0.68942148760330557</c:v>
                </c:pt>
                <c:pt idx="93">
                  <c:v>0.66694214876033042</c:v>
                </c:pt>
                <c:pt idx="94">
                  <c:v>0.64446280991735483</c:v>
                </c:pt>
                <c:pt idx="95">
                  <c:v>0.62198347107437968</c:v>
                </c:pt>
                <c:pt idx="96">
                  <c:v>0.59950413223140453</c:v>
                </c:pt>
                <c:pt idx="97">
                  <c:v>0.57702479338842938</c:v>
                </c:pt>
                <c:pt idx="98">
                  <c:v>0.5536363636363637</c:v>
                </c:pt>
                <c:pt idx="99">
                  <c:v>0.52983471074380173</c:v>
                </c:pt>
                <c:pt idx="100">
                  <c:v>0.50603305785123931</c:v>
                </c:pt>
                <c:pt idx="101">
                  <c:v>0.48223140495867778</c:v>
                </c:pt>
                <c:pt idx="102">
                  <c:v>0.45842975206611536</c:v>
                </c:pt>
                <c:pt idx="103">
                  <c:v>0.43462809917355383</c:v>
                </c:pt>
                <c:pt idx="104">
                  <c:v>0.41082644628099141</c:v>
                </c:pt>
                <c:pt idx="105">
                  <c:v>0.38752066115702455</c:v>
                </c:pt>
                <c:pt idx="106">
                  <c:v>0.36768595041322305</c:v>
                </c:pt>
                <c:pt idx="107">
                  <c:v>0.34785123966942111</c:v>
                </c:pt>
                <c:pt idx="108">
                  <c:v>0.32801652892561961</c:v>
                </c:pt>
                <c:pt idx="109">
                  <c:v>0.30818181818181767</c:v>
                </c:pt>
                <c:pt idx="110">
                  <c:v>0.28834710743801617</c:v>
                </c:pt>
                <c:pt idx="111">
                  <c:v>0.26851239669421467</c:v>
                </c:pt>
                <c:pt idx="112">
                  <c:v>0.24867768595041273</c:v>
                </c:pt>
                <c:pt idx="113">
                  <c:v>0.23702479338842974</c:v>
                </c:pt>
                <c:pt idx="114">
                  <c:v>0.23173553719008255</c:v>
                </c:pt>
                <c:pt idx="115">
                  <c:v>0.22644628099173558</c:v>
                </c:pt>
                <c:pt idx="116">
                  <c:v>0.2211570247933885</c:v>
                </c:pt>
                <c:pt idx="117">
                  <c:v>0.21586776859504131</c:v>
                </c:pt>
                <c:pt idx="118">
                  <c:v>0.21057851239669423</c:v>
                </c:pt>
                <c:pt idx="119">
                  <c:v>0.20528925619834704</c:v>
                </c:pt>
                <c:pt idx="120">
                  <c:v>0.2</c:v>
                </c:pt>
              </c:numCache>
            </c:numRef>
          </c:yVal>
          <c:smooth val="0"/>
          <c:extLst>
            <c:ext xmlns:c16="http://schemas.microsoft.com/office/drawing/2014/chart" uri="{C3380CC4-5D6E-409C-BE32-E72D297353CC}">
              <c16:uniqueId val="{00000002-D1D2-4DE2-822F-8221148E0F07}"/>
            </c:ext>
          </c:extLst>
        </c:ser>
        <c:ser>
          <c:idx val="0"/>
          <c:order val="3"/>
          <c:tx>
            <c:v>Kc Crop Coefficient</c:v>
          </c:tx>
          <c:spPr>
            <a:ln w="25400" cap="rnd">
              <a:solidFill>
                <a:srgbClr val="7030A0"/>
              </a:solidFill>
              <a:prstDash val="dash"/>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8'!$AB$11:$AB$131</c:f>
              <c:numCache>
                <c:formatCode>0.00</c:formatCode>
                <c:ptCount val="121"/>
                <c:pt idx="0">
                  <c:v>0.25</c:v>
                </c:pt>
                <c:pt idx="1">
                  <c:v>0.25</c:v>
                </c:pt>
                <c:pt idx="2">
                  <c:v>0.25</c:v>
                </c:pt>
                <c:pt idx="3">
                  <c:v>0.25</c:v>
                </c:pt>
                <c:pt idx="4">
                  <c:v>0.25</c:v>
                </c:pt>
                <c:pt idx="5">
                  <c:v>0.25</c:v>
                </c:pt>
                <c:pt idx="6">
                  <c:v>0.25</c:v>
                </c:pt>
                <c:pt idx="7">
                  <c:v>0.25</c:v>
                </c:pt>
                <c:pt idx="8">
                  <c:v>0.25</c:v>
                </c:pt>
                <c:pt idx="9">
                  <c:v>0.25</c:v>
                </c:pt>
                <c:pt idx="10">
                  <c:v>0.25</c:v>
                </c:pt>
                <c:pt idx="11">
                  <c:v>0.25</c:v>
                </c:pt>
                <c:pt idx="12">
                  <c:v>0.25</c:v>
                </c:pt>
                <c:pt idx="13">
                  <c:v>0.25</c:v>
                </c:pt>
                <c:pt idx="14">
                  <c:v>0.25</c:v>
                </c:pt>
                <c:pt idx="15">
                  <c:v>0.25347107438016531</c:v>
                </c:pt>
                <c:pt idx="16">
                  <c:v>0.25743801652892562</c:v>
                </c:pt>
                <c:pt idx="17">
                  <c:v>0.26140495867768598</c:v>
                </c:pt>
                <c:pt idx="18">
                  <c:v>0.26537190082644629</c:v>
                </c:pt>
                <c:pt idx="19">
                  <c:v>0.2693388429752066</c:v>
                </c:pt>
                <c:pt idx="20">
                  <c:v>0.27330578512396697</c:v>
                </c:pt>
                <c:pt idx="21">
                  <c:v>0.27727272727272728</c:v>
                </c:pt>
                <c:pt idx="22">
                  <c:v>0.28206611570247941</c:v>
                </c:pt>
                <c:pt idx="23">
                  <c:v>0.28867768595041332</c:v>
                </c:pt>
                <c:pt idx="24">
                  <c:v>0.29528925619834712</c:v>
                </c:pt>
                <c:pt idx="25">
                  <c:v>0.30190082644628102</c:v>
                </c:pt>
                <c:pt idx="26">
                  <c:v>0.30851239669421493</c:v>
                </c:pt>
                <c:pt idx="27">
                  <c:v>0.31512396694214884</c:v>
                </c:pt>
                <c:pt idx="28">
                  <c:v>0.32173553719008274</c:v>
                </c:pt>
                <c:pt idx="29">
                  <c:v>0.32834710743801659</c:v>
                </c:pt>
                <c:pt idx="30">
                  <c:v>0.33595041322314045</c:v>
                </c:pt>
                <c:pt idx="31">
                  <c:v>0.34388429752066113</c:v>
                </c:pt>
                <c:pt idx="32">
                  <c:v>0.35181818181818175</c:v>
                </c:pt>
                <c:pt idx="33">
                  <c:v>0.35975206611570243</c:v>
                </c:pt>
                <c:pt idx="34">
                  <c:v>0.36768595041322311</c:v>
                </c:pt>
                <c:pt idx="35">
                  <c:v>0.37561983471074378</c:v>
                </c:pt>
                <c:pt idx="36">
                  <c:v>0.38355371900826446</c:v>
                </c:pt>
                <c:pt idx="37">
                  <c:v>0.39173553719008269</c:v>
                </c:pt>
                <c:pt idx="38">
                  <c:v>0.40099173553719009</c:v>
                </c:pt>
                <c:pt idx="39">
                  <c:v>0.41024793388429759</c:v>
                </c:pt>
                <c:pt idx="40">
                  <c:v>0.41950413223140498</c:v>
                </c:pt>
                <c:pt idx="41">
                  <c:v>0.42876033057851243</c:v>
                </c:pt>
                <c:pt idx="42">
                  <c:v>0.43801652892561987</c:v>
                </c:pt>
                <c:pt idx="43">
                  <c:v>0.44727272727272732</c:v>
                </c:pt>
                <c:pt idx="44">
                  <c:v>0.45652892561983477</c:v>
                </c:pt>
                <c:pt idx="45">
                  <c:v>0.46661157024793387</c:v>
                </c:pt>
                <c:pt idx="46">
                  <c:v>0.47719008264462809</c:v>
                </c:pt>
                <c:pt idx="47">
                  <c:v>0.48776859504132231</c:v>
                </c:pt>
                <c:pt idx="48">
                  <c:v>0.49834710743801658</c:v>
                </c:pt>
                <c:pt idx="49">
                  <c:v>0.50892561983471063</c:v>
                </c:pt>
                <c:pt idx="50">
                  <c:v>0.5195041322314049</c:v>
                </c:pt>
                <c:pt idx="51">
                  <c:v>0.53008264462809918</c:v>
                </c:pt>
                <c:pt idx="52">
                  <c:v>0.5407438016528926</c:v>
                </c:pt>
                <c:pt idx="53">
                  <c:v>0.55264462809917358</c:v>
                </c:pt>
                <c:pt idx="54">
                  <c:v>0.56454545454545457</c:v>
                </c:pt>
                <c:pt idx="55">
                  <c:v>0.57644628099173545</c:v>
                </c:pt>
                <c:pt idx="56">
                  <c:v>0.58834710743801644</c:v>
                </c:pt>
                <c:pt idx="57">
                  <c:v>0.60024793388429754</c:v>
                </c:pt>
                <c:pt idx="58">
                  <c:v>0.61214876033057852</c:v>
                </c:pt>
                <c:pt idx="59">
                  <c:v>0.62404958677685951</c:v>
                </c:pt>
                <c:pt idx="60">
                  <c:v>0.6359504132231405</c:v>
                </c:pt>
                <c:pt idx="61">
                  <c:v>0.64785123966942149</c:v>
                </c:pt>
                <c:pt idx="62">
                  <c:v>0.65975206611570247</c:v>
                </c:pt>
                <c:pt idx="63">
                  <c:v>0.67165289256198357</c:v>
                </c:pt>
                <c:pt idx="64">
                  <c:v>0.68355371900826456</c:v>
                </c:pt>
                <c:pt idx="65">
                  <c:v>0.69545454545454544</c:v>
                </c:pt>
                <c:pt idx="66">
                  <c:v>0.70735537190082642</c:v>
                </c:pt>
                <c:pt idx="67">
                  <c:v>0.71925619834710741</c:v>
                </c:pt>
                <c:pt idx="68">
                  <c:v>0.73239669421487608</c:v>
                </c:pt>
                <c:pt idx="69">
                  <c:v>0.74561983471074389</c:v>
                </c:pt>
                <c:pt idx="70">
                  <c:v>0.7588429752066117</c:v>
                </c:pt>
                <c:pt idx="71">
                  <c:v>0.77206611570247929</c:v>
                </c:pt>
                <c:pt idx="72">
                  <c:v>0.78528925619834711</c:v>
                </c:pt>
                <c:pt idx="73">
                  <c:v>0.79851239669421492</c:v>
                </c:pt>
                <c:pt idx="74">
                  <c:v>0.81173553719008273</c:v>
                </c:pt>
                <c:pt idx="75">
                  <c:v>0.82099173553719007</c:v>
                </c:pt>
                <c:pt idx="76">
                  <c:v>0.82363636363636361</c:v>
                </c:pt>
                <c:pt idx="77">
                  <c:v>0.82628099173553715</c:v>
                </c:pt>
                <c:pt idx="78">
                  <c:v>0.82892561983471069</c:v>
                </c:pt>
                <c:pt idx="79">
                  <c:v>0.83157024793388423</c:v>
                </c:pt>
                <c:pt idx="80">
                  <c:v>0.83421487603305788</c:v>
                </c:pt>
                <c:pt idx="81">
                  <c:v>0.83685950413223131</c:v>
                </c:pt>
                <c:pt idx="82">
                  <c:v>0.83950413223140496</c:v>
                </c:pt>
                <c:pt idx="83">
                  <c:v>0.82925619834710762</c:v>
                </c:pt>
                <c:pt idx="84">
                  <c:v>0.81603305785123981</c:v>
                </c:pt>
                <c:pt idx="85">
                  <c:v>0.80280991735537199</c:v>
                </c:pt>
                <c:pt idx="86">
                  <c:v>0.7895867768595044</c:v>
                </c:pt>
                <c:pt idx="87">
                  <c:v>0.77636363636363659</c:v>
                </c:pt>
                <c:pt idx="88">
                  <c:v>0.76314049586776878</c:v>
                </c:pt>
                <c:pt idx="89">
                  <c:v>0.74991735537190096</c:v>
                </c:pt>
                <c:pt idx="90">
                  <c:v>0.73438016528925587</c:v>
                </c:pt>
                <c:pt idx="91">
                  <c:v>0.71190082644628072</c:v>
                </c:pt>
                <c:pt idx="92">
                  <c:v>0.68942148760330557</c:v>
                </c:pt>
                <c:pt idx="93">
                  <c:v>0.66694214876033042</c:v>
                </c:pt>
                <c:pt idx="94">
                  <c:v>0.64446280991735483</c:v>
                </c:pt>
                <c:pt idx="95">
                  <c:v>0.62198347107437968</c:v>
                </c:pt>
                <c:pt idx="96">
                  <c:v>0.59950413223140453</c:v>
                </c:pt>
                <c:pt idx="97">
                  <c:v>0.57702479338842938</c:v>
                </c:pt>
                <c:pt idx="98">
                  <c:v>0.5536363636363637</c:v>
                </c:pt>
                <c:pt idx="99">
                  <c:v>0.52983471074380173</c:v>
                </c:pt>
                <c:pt idx="100">
                  <c:v>0.50603305785123931</c:v>
                </c:pt>
                <c:pt idx="101">
                  <c:v>0.48223140495867778</c:v>
                </c:pt>
                <c:pt idx="102">
                  <c:v>0.45842975206611536</c:v>
                </c:pt>
                <c:pt idx="103">
                  <c:v>0.43462809917355383</c:v>
                </c:pt>
                <c:pt idx="104">
                  <c:v>0.41082644628099141</c:v>
                </c:pt>
                <c:pt idx="105">
                  <c:v>0.38752066115702455</c:v>
                </c:pt>
                <c:pt idx="106">
                  <c:v>0.36768595041322305</c:v>
                </c:pt>
                <c:pt idx="107">
                  <c:v>0.34785123966942111</c:v>
                </c:pt>
                <c:pt idx="108">
                  <c:v>0.32801652892561961</c:v>
                </c:pt>
                <c:pt idx="109">
                  <c:v>0.30818181818181767</c:v>
                </c:pt>
                <c:pt idx="110">
                  <c:v>0.28834710743801617</c:v>
                </c:pt>
                <c:pt idx="111">
                  <c:v>0.26851239669421467</c:v>
                </c:pt>
                <c:pt idx="112">
                  <c:v>0.24867768595041273</c:v>
                </c:pt>
                <c:pt idx="113">
                  <c:v>0.23702479338842974</c:v>
                </c:pt>
                <c:pt idx="114">
                  <c:v>0.23173553719008255</c:v>
                </c:pt>
                <c:pt idx="115">
                  <c:v>0.22644628099173558</c:v>
                </c:pt>
                <c:pt idx="116">
                  <c:v>0.2211570247933885</c:v>
                </c:pt>
                <c:pt idx="117">
                  <c:v>0.21586776859504131</c:v>
                </c:pt>
                <c:pt idx="118">
                  <c:v>0.21057851239669423</c:v>
                </c:pt>
                <c:pt idx="119">
                  <c:v>0.20528925619834704</c:v>
                </c:pt>
                <c:pt idx="120">
                  <c:v>0.2</c:v>
                </c:pt>
              </c:numCache>
            </c:numRef>
          </c:yVal>
          <c:smooth val="0"/>
          <c:extLst>
            <c:ext xmlns:c16="http://schemas.microsoft.com/office/drawing/2014/chart" uri="{C3380CC4-5D6E-409C-BE32-E72D297353CC}">
              <c16:uniqueId val="{00000003-D1D2-4DE2-822F-8221148E0F07}"/>
            </c:ext>
          </c:extLst>
        </c:ser>
        <c:dLbls>
          <c:showLegendKey val="0"/>
          <c:showVal val="0"/>
          <c:showCatName val="0"/>
          <c:showSerName val="0"/>
          <c:showPercent val="0"/>
          <c:showBubbleSize val="0"/>
        </c:dLbls>
        <c:axId val="210983104"/>
        <c:axId val="210982528"/>
      </c:scatterChart>
      <c:valAx>
        <c:axId val="210980224"/>
        <c:scaling>
          <c:orientation val="minMax"/>
          <c:max val="42275"/>
          <c:min val="4215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81952"/>
        <c:crosses val="autoZero"/>
        <c:crossBetween val="midCat"/>
        <c:majorUnit val="7"/>
      </c:valAx>
      <c:valAx>
        <c:axId val="210981952"/>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80224"/>
        <c:crosses val="autoZero"/>
        <c:crossBetween val="midCat"/>
      </c:valAx>
      <c:valAx>
        <c:axId val="210982528"/>
        <c:scaling>
          <c:orientation val="minMax"/>
        </c:scaling>
        <c:delete val="0"/>
        <c:axPos val="r"/>
        <c:title>
          <c:tx>
            <c:rich>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Crop</a:t>
                </a:r>
                <a:r>
                  <a:rPr lang="en-US" baseline="0"/>
                  <a:t> Coefficient</a:t>
                </a:r>
              </a:p>
            </c:rich>
          </c:tx>
          <c:layout>
            <c:manualLayout>
              <c:xMode val="edge"/>
              <c:yMode val="edge"/>
              <c:x val="0.86689918499847396"/>
              <c:y val="0.39855664816974107"/>
            </c:manualLayout>
          </c:layout>
          <c:overlay val="0"/>
          <c:spPr>
            <a:noFill/>
            <a:ln>
              <a:noFill/>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83104"/>
        <c:crosses val="max"/>
        <c:crossBetween val="midCat"/>
      </c:valAx>
      <c:valAx>
        <c:axId val="210983104"/>
        <c:scaling>
          <c:orientation val="minMax"/>
        </c:scaling>
        <c:delete val="1"/>
        <c:axPos val="b"/>
        <c:numFmt formatCode="m/d/yy;@" sourceLinked="1"/>
        <c:majorTickMark val="out"/>
        <c:minorTickMark val="none"/>
        <c:tickLblPos val="nextTo"/>
        <c:crossAx val="210982528"/>
        <c:crosses val="autoZero"/>
        <c:crossBetween val="midCat"/>
      </c:valAx>
      <c:spPr>
        <a:noFill/>
        <a:ln w="57150">
          <a:noFill/>
        </a:ln>
        <a:effectLst/>
      </c:spPr>
    </c:plotArea>
    <c:legend>
      <c:legendPos val="r"/>
      <c:layout>
        <c:manualLayout>
          <c:xMode val="edge"/>
          <c:yMode val="edge"/>
          <c:x val="0.89646643066705622"/>
          <c:y val="0.2520856495576268"/>
          <c:w val="0.10223278803137295"/>
          <c:h val="0.550970948186103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Cumulative Depth of Irrigation</a:t>
            </a:r>
            <a:r>
              <a:rPr lang="en-US" b="1" baseline="0">
                <a:solidFill>
                  <a:schemeClr val="tx1"/>
                </a:solidFill>
              </a:rPr>
              <a:t>, Precipitation, Evapotranspiration, and Deep Percolation</a:t>
            </a:r>
            <a:endParaRPr lang="en-US" b="1">
              <a:solidFill>
                <a:schemeClr val="tx1"/>
              </a:solidFill>
            </a:endParaRPr>
          </a:p>
        </c:rich>
      </c:tx>
      <c:layout>
        <c:manualLayout>
          <c:xMode val="edge"/>
          <c:yMode val="edge"/>
          <c:x val="0.12697679199540704"/>
          <c:y val="1.97908250046944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5.8196353387801721E-2"/>
          <c:y val="9.4671390354999635E-2"/>
          <c:w val="0.79522181356879806"/>
          <c:h val="0.77553048890869702"/>
        </c:manualLayout>
      </c:layout>
      <c:scatterChart>
        <c:scatterStyle val="lineMarker"/>
        <c:varyColors val="0"/>
        <c:ser>
          <c:idx val="0"/>
          <c:order val="0"/>
          <c:tx>
            <c:v>Total Irrigation</c:v>
          </c:tx>
          <c:spPr>
            <a:ln w="19050" cap="rnd">
              <a:solidFill>
                <a:srgbClr val="00B050"/>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8'!$T$11:$T$131</c:f>
              <c:numCache>
                <c:formatCode>0.00</c:formatCode>
                <c:ptCount val="121"/>
                <c:pt idx="0">
                  <c:v>8.7096774193548416</c:v>
                </c:pt>
                <c:pt idx="1">
                  <c:v>8.7096774193548416</c:v>
                </c:pt>
                <c:pt idx="2">
                  <c:v>14.43082589074058</c:v>
                </c:pt>
                <c:pt idx="3">
                  <c:v>14.43082589074058</c:v>
                </c:pt>
                <c:pt idx="4">
                  <c:v>14.43082589074058</c:v>
                </c:pt>
                <c:pt idx="5">
                  <c:v>14.43082589074058</c:v>
                </c:pt>
                <c:pt idx="6">
                  <c:v>14.43082589074058</c:v>
                </c:pt>
                <c:pt idx="7">
                  <c:v>22.381221345503548</c:v>
                </c:pt>
                <c:pt idx="8">
                  <c:v>22.381221345503548</c:v>
                </c:pt>
                <c:pt idx="9">
                  <c:v>27.279698638752247</c:v>
                </c:pt>
                <c:pt idx="10">
                  <c:v>27.279698638752247</c:v>
                </c:pt>
                <c:pt idx="11">
                  <c:v>27.279698638752247</c:v>
                </c:pt>
                <c:pt idx="12">
                  <c:v>27.279698638752247</c:v>
                </c:pt>
                <c:pt idx="13">
                  <c:v>27.279698638752247</c:v>
                </c:pt>
                <c:pt idx="14">
                  <c:v>35.546281148466505</c:v>
                </c:pt>
                <c:pt idx="15">
                  <c:v>35.546281148466505</c:v>
                </c:pt>
                <c:pt idx="16">
                  <c:v>40.246567237923507</c:v>
                </c:pt>
                <c:pt idx="17">
                  <c:v>40.246567237923507</c:v>
                </c:pt>
                <c:pt idx="18">
                  <c:v>45.34625704142141</c:v>
                </c:pt>
                <c:pt idx="19">
                  <c:v>45.34625704142141</c:v>
                </c:pt>
                <c:pt idx="20">
                  <c:v>45.34625704142141</c:v>
                </c:pt>
                <c:pt idx="21">
                  <c:v>52.10397986041135</c:v>
                </c:pt>
                <c:pt idx="22">
                  <c:v>52.10397986041135</c:v>
                </c:pt>
                <c:pt idx="23">
                  <c:v>56.417078100781133</c:v>
                </c:pt>
                <c:pt idx="24">
                  <c:v>56.417078100781133</c:v>
                </c:pt>
                <c:pt idx="25">
                  <c:v>60.922226646774426</c:v>
                </c:pt>
                <c:pt idx="26">
                  <c:v>60.922226646774426</c:v>
                </c:pt>
                <c:pt idx="27">
                  <c:v>60.922226646774426</c:v>
                </c:pt>
                <c:pt idx="28">
                  <c:v>66.420760371114611</c:v>
                </c:pt>
                <c:pt idx="29">
                  <c:v>66.420760371114611</c:v>
                </c:pt>
                <c:pt idx="30">
                  <c:v>70.359160637640429</c:v>
                </c:pt>
                <c:pt idx="31">
                  <c:v>70.359160637640429</c:v>
                </c:pt>
                <c:pt idx="32">
                  <c:v>74.483330692674983</c:v>
                </c:pt>
                <c:pt idx="33">
                  <c:v>74.483330692674983</c:v>
                </c:pt>
                <c:pt idx="34">
                  <c:v>74.483330692674983</c:v>
                </c:pt>
                <c:pt idx="35">
                  <c:v>74.483330692674983</c:v>
                </c:pt>
                <c:pt idx="36">
                  <c:v>74.483330692674983</c:v>
                </c:pt>
                <c:pt idx="37">
                  <c:v>74.483330692674983</c:v>
                </c:pt>
                <c:pt idx="38">
                  <c:v>74.483330692674983</c:v>
                </c:pt>
                <c:pt idx="39">
                  <c:v>78.239157336172511</c:v>
                </c:pt>
                <c:pt idx="40">
                  <c:v>78.239157336172511</c:v>
                </c:pt>
                <c:pt idx="41">
                  <c:v>78.239157336172511</c:v>
                </c:pt>
                <c:pt idx="42">
                  <c:v>78.239157336172511</c:v>
                </c:pt>
                <c:pt idx="43">
                  <c:v>78.239157336172511</c:v>
                </c:pt>
                <c:pt idx="44">
                  <c:v>82.363327391207093</c:v>
                </c:pt>
                <c:pt idx="45">
                  <c:v>82.363327391207093</c:v>
                </c:pt>
                <c:pt idx="46">
                  <c:v>86.676425631576848</c:v>
                </c:pt>
                <c:pt idx="47">
                  <c:v>86.676425631576848</c:v>
                </c:pt>
                <c:pt idx="48">
                  <c:v>86.676425631576848</c:v>
                </c:pt>
                <c:pt idx="49">
                  <c:v>86.676425631576848</c:v>
                </c:pt>
                <c:pt idx="50">
                  <c:v>86.676425631576848</c:v>
                </c:pt>
                <c:pt idx="51">
                  <c:v>86.676425631576848</c:v>
                </c:pt>
                <c:pt idx="52">
                  <c:v>86.676425631576848</c:v>
                </c:pt>
                <c:pt idx="53">
                  <c:v>90.80059568661143</c:v>
                </c:pt>
                <c:pt idx="54">
                  <c:v>90.80059568661143</c:v>
                </c:pt>
                <c:pt idx="55">
                  <c:v>90.80059568661143</c:v>
                </c:pt>
                <c:pt idx="56">
                  <c:v>97.37329231273209</c:v>
                </c:pt>
                <c:pt idx="57">
                  <c:v>97.37329231273209</c:v>
                </c:pt>
                <c:pt idx="58">
                  <c:v>101.31169257925792</c:v>
                </c:pt>
                <c:pt idx="59">
                  <c:v>101.31169257925792</c:v>
                </c:pt>
                <c:pt idx="60">
                  <c:v>105.62479081962771</c:v>
                </c:pt>
                <c:pt idx="61">
                  <c:v>105.62479081962771</c:v>
                </c:pt>
                <c:pt idx="62">
                  <c:v>105.62479081962771</c:v>
                </c:pt>
                <c:pt idx="63">
                  <c:v>105.62479081962771</c:v>
                </c:pt>
                <c:pt idx="64">
                  <c:v>105.62479081962771</c:v>
                </c:pt>
                <c:pt idx="65">
                  <c:v>109.74896087466225</c:v>
                </c:pt>
                <c:pt idx="66">
                  <c:v>109.74896087466225</c:v>
                </c:pt>
                <c:pt idx="67">
                  <c:v>109.74896087466225</c:v>
                </c:pt>
                <c:pt idx="68">
                  <c:v>109.74896087466225</c:v>
                </c:pt>
                <c:pt idx="69">
                  <c:v>109.74896087466225</c:v>
                </c:pt>
                <c:pt idx="70">
                  <c:v>117.25754178465108</c:v>
                </c:pt>
                <c:pt idx="71">
                  <c:v>117.25754178465108</c:v>
                </c:pt>
                <c:pt idx="72">
                  <c:v>117.25754178465108</c:v>
                </c:pt>
                <c:pt idx="73">
                  <c:v>117.25754178465108</c:v>
                </c:pt>
                <c:pt idx="74">
                  <c:v>117.25754178465108</c:v>
                </c:pt>
                <c:pt idx="75">
                  <c:v>117.25754178465108</c:v>
                </c:pt>
                <c:pt idx="76">
                  <c:v>117.25754178465108</c:v>
                </c:pt>
                <c:pt idx="77">
                  <c:v>124.81852021888109</c:v>
                </c:pt>
                <c:pt idx="78">
                  <c:v>124.81852021888109</c:v>
                </c:pt>
                <c:pt idx="79">
                  <c:v>128.94269027391564</c:v>
                </c:pt>
                <c:pt idx="80">
                  <c:v>128.94269027391564</c:v>
                </c:pt>
                <c:pt idx="81">
                  <c:v>132.69851691741314</c:v>
                </c:pt>
                <c:pt idx="82">
                  <c:v>132.69851691741314</c:v>
                </c:pt>
                <c:pt idx="83">
                  <c:v>132.69851691741314</c:v>
                </c:pt>
                <c:pt idx="84">
                  <c:v>139.88701398469615</c:v>
                </c:pt>
                <c:pt idx="85">
                  <c:v>139.88701398469615</c:v>
                </c:pt>
                <c:pt idx="86">
                  <c:v>139.88701398469615</c:v>
                </c:pt>
                <c:pt idx="87">
                  <c:v>139.88701398469615</c:v>
                </c:pt>
                <c:pt idx="88">
                  <c:v>143.64284062819365</c:v>
                </c:pt>
                <c:pt idx="89">
                  <c:v>143.64284062819365</c:v>
                </c:pt>
                <c:pt idx="90">
                  <c:v>143.64284062819365</c:v>
                </c:pt>
                <c:pt idx="91">
                  <c:v>145.52075394994242</c:v>
                </c:pt>
                <c:pt idx="92">
                  <c:v>145.52075394994242</c:v>
                </c:pt>
                <c:pt idx="93">
                  <c:v>149.27658059343995</c:v>
                </c:pt>
                <c:pt idx="94">
                  <c:v>149.27658059343995</c:v>
                </c:pt>
                <c:pt idx="95">
                  <c:v>153.0324072369375</c:v>
                </c:pt>
                <c:pt idx="96">
                  <c:v>153.0324072369375</c:v>
                </c:pt>
                <c:pt idx="97">
                  <c:v>153.0324072369375</c:v>
                </c:pt>
                <c:pt idx="98">
                  <c:v>160.54406052393259</c:v>
                </c:pt>
                <c:pt idx="99">
                  <c:v>160.54406052393259</c:v>
                </c:pt>
                <c:pt idx="100">
                  <c:v>164.29988716743009</c:v>
                </c:pt>
                <c:pt idx="101">
                  <c:v>164.29988716743009</c:v>
                </c:pt>
                <c:pt idx="102">
                  <c:v>168.05571381092761</c:v>
                </c:pt>
                <c:pt idx="103">
                  <c:v>168.05571381092761</c:v>
                </c:pt>
                <c:pt idx="104">
                  <c:v>168.05571381092761</c:v>
                </c:pt>
                <c:pt idx="105">
                  <c:v>173.42044664311695</c:v>
                </c:pt>
                <c:pt idx="106">
                  <c:v>173.42044664311695</c:v>
                </c:pt>
                <c:pt idx="107">
                  <c:v>173.42044664311695</c:v>
                </c:pt>
                <c:pt idx="108">
                  <c:v>173.42044664311695</c:v>
                </c:pt>
                <c:pt idx="109">
                  <c:v>173.42044664311695</c:v>
                </c:pt>
                <c:pt idx="110">
                  <c:v>173.42044664311695</c:v>
                </c:pt>
                <c:pt idx="111">
                  <c:v>173.42044664311695</c:v>
                </c:pt>
                <c:pt idx="112">
                  <c:v>177.17627328661445</c:v>
                </c:pt>
                <c:pt idx="113">
                  <c:v>177.17627328661445</c:v>
                </c:pt>
                <c:pt idx="114">
                  <c:v>180.93140525142385</c:v>
                </c:pt>
                <c:pt idx="115">
                  <c:v>180.93140525142385</c:v>
                </c:pt>
                <c:pt idx="116">
                  <c:v>184.68723189492138</c:v>
                </c:pt>
                <c:pt idx="117">
                  <c:v>184.68723189492138</c:v>
                </c:pt>
                <c:pt idx="118">
                  <c:v>184.68723189492138</c:v>
                </c:pt>
                <c:pt idx="119">
                  <c:v>188.26372044971427</c:v>
                </c:pt>
                <c:pt idx="120">
                  <c:v>188.26372044971427</c:v>
                </c:pt>
              </c:numCache>
            </c:numRef>
          </c:yVal>
          <c:smooth val="0"/>
          <c:extLst>
            <c:ext xmlns:c16="http://schemas.microsoft.com/office/drawing/2014/chart" uri="{C3380CC4-5D6E-409C-BE32-E72D297353CC}">
              <c16:uniqueId val="{00000000-FD41-4C8D-971B-9BCC85E45534}"/>
            </c:ext>
          </c:extLst>
        </c:ser>
        <c:ser>
          <c:idx val="1"/>
          <c:order val="1"/>
          <c:tx>
            <c:v>Total ET</c:v>
          </c:tx>
          <c:spPr>
            <a:ln w="19050" cap="rnd">
              <a:solidFill>
                <a:srgbClr val="FFC000"/>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8'!$AG$11:$AG$131</c:f>
              <c:numCache>
                <c:formatCode>0.00</c:formatCode>
                <c:ptCount val="121"/>
                <c:pt idx="0">
                  <c:v>4.7500000000000001E-2</c:v>
                </c:pt>
                <c:pt idx="1">
                  <c:v>0.08</c:v>
                </c:pt>
                <c:pt idx="2">
                  <c:v>0.11</c:v>
                </c:pt>
                <c:pt idx="3">
                  <c:v>0.13</c:v>
                </c:pt>
                <c:pt idx="4">
                  <c:v>0.1525</c:v>
                </c:pt>
                <c:pt idx="5">
                  <c:v>0.1825</c:v>
                </c:pt>
                <c:pt idx="6">
                  <c:v>0.21</c:v>
                </c:pt>
                <c:pt idx="7">
                  <c:v>0.23473544973544974</c:v>
                </c:pt>
                <c:pt idx="8">
                  <c:v>0.26223544973544977</c:v>
                </c:pt>
                <c:pt idx="9">
                  <c:v>0.29973544973544974</c:v>
                </c:pt>
                <c:pt idx="10">
                  <c:v>0.36473544973544975</c:v>
                </c:pt>
                <c:pt idx="11">
                  <c:v>0.42973544973544975</c:v>
                </c:pt>
                <c:pt idx="12">
                  <c:v>0.49723544973544975</c:v>
                </c:pt>
                <c:pt idx="13">
                  <c:v>0.5427050264550265</c:v>
                </c:pt>
                <c:pt idx="14">
                  <c:v>0.58531170389966691</c:v>
                </c:pt>
                <c:pt idx="15">
                  <c:v>0.65881831546991487</c:v>
                </c:pt>
                <c:pt idx="16">
                  <c:v>0.73604972042859251</c:v>
                </c:pt>
                <c:pt idx="17">
                  <c:v>0.81969930720545203</c:v>
                </c:pt>
                <c:pt idx="18">
                  <c:v>0.90461831546991489</c:v>
                </c:pt>
                <c:pt idx="19">
                  <c:v>0.96925963778396451</c:v>
                </c:pt>
                <c:pt idx="20">
                  <c:v>1.0430521997674356</c:v>
                </c:pt>
                <c:pt idx="21">
                  <c:v>1.1064840490990895</c:v>
                </c:pt>
                <c:pt idx="22">
                  <c:v>1.1713592557106598</c:v>
                </c:pt>
                <c:pt idx="23">
                  <c:v>1.240641900338759</c:v>
                </c:pt>
                <c:pt idx="24">
                  <c:v>1.3115113218263623</c:v>
                </c:pt>
                <c:pt idx="25">
                  <c:v>1.3839675201734698</c:v>
                </c:pt>
                <c:pt idx="26">
                  <c:v>1.4580104953800814</c:v>
                </c:pt>
                <c:pt idx="27">
                  <c:v>1.5556989251321476</c:v>
                </c:pt>
                <c:pt idx="28">
                  <c:v>1.6500016219222873</c:v>
                </c:pt>
                <c:pt idx="29">
                  <c:v>1.7485057541536921</c:v>
                </c:pt>
                <c:pt idx="30">
                  <c:v>1.8492908781206343</c:v>
                </c:pt>
                <c:pt idx="31">
                  <c:v>1.9455784814264194</c:v>
                </c:pt>
                <c:pt idx="32">
                  <c:v>2.0476057541536923</c:v>
                </c:pt>
                <c:pt idx="33">
                  <c:v>2.166323935971874</c:v>
                </c:pt>
                <c:pt idx="34">
                  <c:v>2.2398611260545187</c:v>
                </c:pt>
                <c:pt idx="35">
                  <c:v>2.3337660847322046</c:v>
                </c:pt>
                <c:pt idx="36">
                  <c:v>2.4180955599667291</c:v>
                </c:pt>
                <c:pt idx="37">
                  <c:v>2.4548223375350711</c:v>
                </c:pt>
                <c:pt idx="38">
                  <c:v>2.5550702714193685</c:v>
                </c:pt>
                <c:pt idx="39">
                  <c:v>2.6822471309235008</c:v>
                </c:pt>
                <c:pt idx="40">
                  <c:v>2.8164884532375503</c:v>
                </c:pt>
                <c:pt idx="41">
                  <c:v>2.945116552411104</c:v>
                </c:pt>
                <c:pt idx="42">
                  <c:v>3.0502405193532529</c:v>
                </c:pt>
                <c:pt idx="43">
                  <c:v>3.1502155224946509</c:v>
                </c:pt>
                <c:pt idx="44">
                  <c:v>3.2233735710739868</c:v>
                </c:pt>
                <c:pt idx="45">
                  <c:v>3.335360347933491</c:v>
                </c:pt>
                <c:pt idx="46">
                  <c:v>3.4117107611566313</c:v>
                </c:pt>
                <c:pt idx="47">
                  <c:v>3.4946314223136561</c:v>
                </c:pt>
                <c:pt idx="48">
                  <c:v>3.6142347280987801</c:v>
                </c:pt>
                <c:pt idx="49">
                  <c:v>3.705841339669028</c:v>
                </c:pt>
                <c:pt idx="50">
                  <c:v>3.8253272900822513</c:v>
                </c:pt>
                <c:pt idx="51">
                  <c:v>3.9889953278132988</c:v>
                </c:pt>
                <c:pt idx="52">
                  <c:v>4.0999979738574304</c:v>
                </c:pt>
                <c:pt idx="53">
                  <c:v>4.2088374344378483</c:v>
                </c:pt>
                <c:pt idx="54">
                  <c:v>4.3782010708014845</c:v>
                </c:pt>
                <c:pt idx="55">
                  <c:v>4.5741928063386741</c:v>
                </c:pt>
                <c:pt idx="56">
                  <c:v>4.6742118146031366</c:v>
                </c:pt>
                <c:pt idx="57">
                  <c:v>4.8182713187353681</c:v>
                </c:pt>
                <c:pt idx="58">
                  <c:v>4.9713085088180131</c:v>
                </c:pt>
                <c:pt idx="59">
                  <c:v>5.1398018972477653</c:v>
                </c:pt>
                <c:pt idx="60">
                  <c:v>5.3115085088180134</c:v>
                </c:pt>
                <c:pt idx="61">
                  <c:v>5.4799498311320631</c:v>
                </c:pt>
                <c:pt idx="62">
                  <c:v>5.6844729716279305</c:v>
                </c:pt>
                <c:pt idx="63">
                  <c:v>5.7314886741072693</c:v>
                </c:pt>
                <c:pt idx="64">
                  <c:v>5.8887060294791702</c:v>
                </c:pt>
                <c:pt idx="65">
                  <c:v>6.0625696658428065</c:v>
                </c:pt>
                <c:pt idx="66">
                  <c:v>6.232334955099005</c:v>
                </c:pt>
                <c:pt idx="67">
                  <c:v>6.3114531369171871</c:v>
                </c:pt>
                <c:pt idx="68">
                  <c:v>6.4506085088180134</c:v>
                </c:pt>
                <c:pt idx="69">
                  <c:v>6.6221010708014845</c:v>
                </c:pt>
                <c:pt idx="70">
                  <c:v>6.7662812360907409</c:v>
                </c:pt>
                <c:pt idx="71">
                  <c:v>6.9515771038593357</c:v>
                </c:pt>
                <c:pt idx="72">
                  <c:v>7.1243407402229719</c:v>
                </c:pt>
                <c:pt idx="73">
                  <c:v>7.3159837154295833</c:v>
                </c:pt>
                <c:pt idx="74">
                  <c:v>7.5270349550990048</c:v>
                </c:pt>
                <c:pt idx="75">
                  <c:v>7.7240729716279306</c:v>
                </c:pt>
                <c:pt idx="76">
                  <c:v>7.8799013412748122</c:v>
                </c:pt>
                <c:pt idx="77">
                  <c:v>8.044717607131016</c:v>
                </c:pt>
                <c:pt idx="78">
                  <c:v>8.2353704996929995</c:v>
                </c:pt>
                <c:pt idx="79">
                  <c:v>8.410000251759115</c:v>
                </c:pt>
                <c:pt idx="80">
                  <c:v>8.5935275244863885</c:v>
                </c:pt>
                <c:pt idx="81">
                  <c:v>8.8194795906020911</c:v>
                </c:pt>
                <c:pt idx="82">
                  <c:v>9.0041704996930001</c:v>
                </c:pt>
                <c:pt idx="83">
                  <c:v>9.1783143013458925</c:v>
                </c:pt>
                <c:pt idx="84">
                  <c:v>9.3660019046516769</c:v>
                </c:pt>
                <c:pt idx="85">
                  <c:v>9.5586762848169666</c:v>
                </c:pt>
                <c:pt idx="86">
                  <c:v>9.6376349625029167</c:v>
                </c:pt>
                <c:pt idx="87">
                  <c:v>9.7929076897756442</c:v>
                </c:pt>
                <c:pt idx="88">
                  <c:v>9.9531671939078752</c:v>
                </c:pt>
                <c:pt idx="89">
                  <c:v>10.14064653275085</c:v>
                </c:pt>
                <c:pt idx="90">
                  <c:v>10.324241574073163</c:v>
                </c:pt>
                <c:pt idx="91">
                  <c:v>10.473740747626882</c:v>
                </c:pt>
                <c:pt idx="92">
                  <c:v>10.625413474899609</c:v>
                </c:pt>
                <c:pt idx="93">
                  <c:v>10.872182069940932</c:v>
                </c:pt>
                <c:pt idx="94">
                  <c:v>11.097744053412006</c:v>
                </c:pt>
                <c:pt idx="95">
                  <c:v>11.278119260023576</c:v>
                </c:pt>
                <c:pt idx="96">
                  <c:v>11.398020086469858</c:v>
                </c:pt>
                <c:pt idx="97">
                  <c:v>11.490344053412006</c:v>
                </c:pt>
                <c:pt idx="98">
                  <c:v>11.601071326139278</c:v>
                </c:pt>
                <c:pt idx="99">
                  <c:v>11.696441574073162</c:v>
                </c:pt>
                <c:pt idx="100">
                  <c:v>11.797648185643411</c:v>
                </c:pt>
                <c:pt idx="101">
                  <c:v>11.894094466635146</c:v>
                </c:pt>
                <c:pt idx="102">
                  <c:v>11.981196119527707</c:v>
                </c:pt>
                <c:pt idx="103">
                  <c:v>12.063775458370683</c:v>
                </c:pt>
                <c:pt idx="104">
                  <c:v>12.129507689775641</c:v>
                </c:pt>
                <c:pt idx="105">
                  <c:v>12.179885375726055</c:v>
                </c:pt>
                <c:pt idx="106">
                  <c:v>12.212977111263246</c:v>
                </c:pt>
                <c:pt idx="107">
                  <c:v>12.226891160850023</c:v>
                </c:pt>
                <c:pt idx="108">
                  <c:v>12.253132483164073</c:v>
                </c:pt>
                <c:pt idx="109">
                  <c:v>12.293196119527709</c:v>
                </c:pt>
                <c:pt idx="110">
                  <c:v>12.333564714569031</c:v>
                </c:pt>
                <c:pt idx="111">
                  <c:v>12.373841574073163</c:v>
                </c:pt>
                <c:pt idx="112">
                  <c:v>12.411143226965725</c:v>
                </c:pt>
                <c:pt idx="113">
                  <c:v>12.449067193907874</c:v>
                </c:pt>
                <c:pt idx="114">
                  <c:v>12.483827524486387</c:v>
                </c:pt>
                <c:pt idx="115">
                  <c:v>12.517794466635147</c:v>
                </c:pt>
                <c:pt idx="116">
                  <c:v>12.553179590602088</c:v>
                </c:pt>
                <c:pt idx="117">
                  <c:v>12.592035788949195</c:v>
                </c:pt>
                <c:pt idx="118">
                  <c:v>12.6299399211806</c:v>
                </c:pt>
                <c:pt idx="119">
                  <c:v>12.660733309610352</c:v>
                </c:pt>
                <c:pt idx="120">
                  <c:v>12.690733309610351</c:v>
                </c:pt>
              </c:numCache>
            </c:numRef>
          </c:yVal>
          <c:smooth val="0"/>
          <c:extLst>
            <c:ext xmlns:c16="http://schemas.microsoft.com/office/drawing/2014/chart" uri="{C3380CC4-5D6E-409C-BE32-E72D297353CC}">
              <c16:uniqueId val="{00000001-FD41-4C8D-971B-9BCC85E45534}"/>
            </c:ext>
          </c:extLst>
        </c:ser>
        <c:ser>
          <c:idx val="3"/>
          <c:order val="2"/>
          <c:tx>
            <c:v>Total Irr + Precip</c:v>
          </c:tx>
          <c:spPr>
            <a:ln w="19050" cap="rnd">
              <a:solidFill>
                <a:srgbClr val="00B0F0"/>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8'!$AZ$11:$AZ$131</c:f>
              <c:numCache>
                <c:formatCode>0.00</c:formatCode>
                <c:ptCount val="121"/>
                <c:pt idx="0">
                  <c:v>8.7096774193548399</c:v>
                </c:pt>
                <c:pt idx="1">
                  <c:v>8.7096774193548399</c:v>
                </c:pt>
                <c:pt idx="2">
                  <c:v>14.494825890740579</c:v>
                </c:pt>
                <c:pt idx="3">
                  <c:v>14.494825890740579</c:v>
                </c:pt>
                <c:pt idx="4">
                  <c:v>14.494825890740579</c:v>
                </c:pt>
                <c:pt idx="5">
                  <c:v>14.494825890740579</c:v>
                </c:pt>
                <c:pt idx="6">
                  <c:v>14.494825890740579</c:v>
                </c:pt>
                <c:pt idx="7">
                  <c:v>22.445221345503548</c:v>
                </c:pt>
                <c:pt idx="8">
                  <c:v>22.445221345503548</c:v>
                </c:pt>
                <c:pt idx="9">
                  <c:v>27.759698638752248</c:v>
                </c:pt>
                <c:pt idx="10">
                  <c:v>27.831698638752247</c:v>
                </c:pt>
                <c:pt idx="11">
                  <c:v>27.831698638752247</c:v>
                </c:pt>
                <c:pt idx="12">
                  <c:v>27.831698638752247</c:v>
                </c:pt>
                <c:pt idx="13">
                  <c:v>27.831698638752247</c:v>
                </c:pt>
                <c:pt idx="14">
                  <c:v>36.098281148466505</c:v>
                </c:pt>
                <c:pt idx="15">
                  <c:v>36.098281148466505</c:v>
                </c:pt>
                <c:pt idx="16">
                  <c:v>40.798567237923514</c:v>
                </c:pt>
                <c:pt idx="17">
                  <c:v>40.798567237923514</c:v>
                </c:pt>
                <c:pt idx="18">
                  <c:v>45.898257041421402</c:v>
                </c:pt>
                <c:pt idx="19">
                  <c:v>45.898257041421402</c:v>
                </c:pt>
                <c:pt idx="20">
                  <c:v>45.898257041421402</c:v>
                </c:pt>
                <c:pt idx="21">
                  <c:v>52.65597986041135</c:v>
                </c:pt>
                <c:pt idx="22">
                  <c:v>52.65597986041135</c:v>
                </c:pt>
                <c:pt idx="23">
                  <c:v>56.969078100781125</c:v>
                </c:pt>
                <c:pt idx="24">
                  <c:v>56.969078100781125</c:v>
                </c:pt>
                <c:pt idx="25">
                  <c:v>61.474226646774426</c:v>
                </c:pt>
                <c:pt idx="26">
                  <c:v>61.474226646774426</c:v>
                </c:pt>
                <c:pt idx="27">
                  <c:v>61.474226646774426</c:v>
                </c:pt>
                <c:pt idx="28">
                  <c:v>66.972760371114603</c:v>
                </c:pt>
                <c:pt idx="29">
                  <c:v>66.972760371114603</c:v>
                </c:pt>
                <c:pt idx="30">
                  <c:v>70.911160637640435</c:v>
                </c:pt>
                <c:pt idx="31">
                  <c:v>70.911160637640435</c:v>
                </c:pt>
                <c:pt idx="32">
                  <c:v>75.035330692674989</c:v>
                </c:pt>
                <c:pt idx="33">
                  <c:v>75.035330692674989</c:v>
                </c:pt>
                <c:pt idx="34">
                  <c:v>75.107330692674992</c:v>
                </c:pt>
                <c:pt idx="35">
                  <c:v>75.107330692674992</c:v>
                </c:pt>
                <c:pt idx="36">
                  <c:v>75.107330692674992</c:v>
                </c:pt>
                <c:pt idx="37">
                  <c:v>75.307330692674995</c:v>
                </c:pt>
                <c:pt idx="38">
                  <c:v>75.459330692674996</c:v>
                </c:pt>
                <c:pt idx="39">
                  <c:v>79.215157336172524</c:v>
                </c:pt>
                <c:pt idx="40">
                  <c:v>79.215157336172524</c:v>
                </c:pt>
                <c:pt idx="41">
                  <c:v>79.215157336172524</c:v>
                </c:pt>
                <c:pt idx="42">
                  <c:v>79.215157336172524</c:v>
                </c:pt>
                <c:pt idx="43">
                  <c:v>79.215157336172524</c:v>
                </c:pt>
                <c:pt idx="44">
                  <c:v>83.339327391207078</c:v>
                </c:pt>
                <c:pt idx="45">
                  <c:v>83.339327391207078</c:v>
                </c:pt>
                <c:pt idx="46">
                  <c:v>87.652425631576861</c:v>
                </c:pt>
                <c:pt idx="47">
                  <c:v>87.652425631576861</c:v>
                </c:pt>
                <c:pt idx="48">
                  <c:v>87.652425631576861</c:v>
                </c:pt>
                <c:pt idx="49">
                  <c:v>87.652425631576861</c:v>
                </c:pt>
                <c:pt idx="50">
                  <c:v>87.652425631576861</c:v>
                </c:pt>
                <c:pt idx="51">
                  <c:v>87.652425631576861</c:v>
                </c:pt>
                <c:pt idx="52">
                  <c:v>87.652425631576861</c:v>
                </c:pt>
                <c:pt idx="53">
                  <c:v>91.776595686611415</c:v>
                </c:pt>
                <c:pt idx="54">
                  <c:v>91.776595686611415</c:v>
                </c:pt>
                <c:pt idx="55">
                  <c:v>91.776595686611415</c:v>
                </c:pt>
                <c:pt idx="56">
                  <c:v>98.413292312732096</c:v>
                </c:pt>
                <c:pt idx="57">
                  <c:v>98.413292312732096</c:v>
                </c:pt>
                <c:pt idx="58">
                  <c:v>102.35169257925793</c:v>
                </c:pt>
                <c:pt idx="59">
                  <c:v>102.35169257925793</c:v>
                </c:pt>
                <c:pt idx="60">
                  <c:v>106.66479081962771</c:v>
                </c:pt>
                <c:pt idx="61">
                  <c:v>106.66479081962771</c:v>
                </c:pt>
                <c:pt idx="62">
                  <c:v>106.66479081962771</c:v>
                </c:pt>
                <c:pt idx="63">
                  <c:v>107.04879081962771</c:v>
                </c:pt>
                <c:pt idx="64">
                  <c:v>107.04879081962771</c:v>
                </c:pt>
                <c:pt idx="65">
                  <c:v>111.17296087466227</c:v>
                </c:pt>
                <c:pt idx="66">
                  <c:v>111.17296087466227</c:v>
                </c:pt>
                <c:pt idx="67">
                  <c:v>111.26096087466226</c:v>
                </c:pt>
                <c:pt idx="68">
                  <c:v>111.26096087466226</c:v>
                </c:pt>
                <c:pt idx="69">
                  <c:v>111.26096087466226</c:v>
                </c:pt>
                <c:pt idx="70">
                  <c:v>118.7695417846511</c:v>
                </c:pt>
                <c:pt idx="71">
                  <c:v>118.92954178465109</c:v>
                </c:pt>
                <c:pt idx="72">
                  <c:v>118.92954178465109</c:v>
                </c:pt>
                <c:pt idx="73">
                  <c:v>118.92954178465109</c:v>
                </c:pt>
                <c:pt idx="74">
                  <c:v>118.92954178465109</c:v>
                </c:pt>
                <c:pt idx="75">
                  <c:v>118.92954178465109</c:v>
                </c:pt>
                <c:pt idx="76">
                  <c:v>118.92954178465109</c:v>
                </c:pt>
                <c:pt idx="77">
                  <c:v>126.49052021888112</c:v>
                </c:pt>
                <c:pt idx="78">
                  <c:v>126.49052021888112</c:v>
                </c:pt>
                <c:pt idx="79">
                  <c:v>130.61469027391567</c:v>
                </c:pt>
                <c:pt idx="80">
                  <c:v>130.61469027391567</c:v>
                </c:pt>
                <c:pt idx="81">
                  <c:v>134.3705169174132</c:v>
                </c:pt>
                <c:pt idx="82">
                  <c:v>134.3705169174132</c:v>
                </c:pt>
                <c:pt idx="83">
                  <c:v>134.3705169174132</c:v>
                </c:pt>
                <c:pt idx="84">
                  <c:v>141.55901398469615</c:v>
                </c:pt>
                <c:pt idx="85">
                  <c:v>141.55901398469615</c:v>
                </c:pt>
                <c:pt idx="86">
                  <c:v>141.55901398469615</c:v>
                </c:pt>
                <c:pt idx="87">
                  <c:v>141.55901398469615</c:v>
                </c:pt>
                <c:pt idx="88">
                  <c:v>145.31484062819368</c:v>
                </c:pt>
                <c:pt idx="89">
                  <c:v>145.31484062819368</c:v>
                </c:pt>
                <c:pt idx="90">
                  <c:v>145.31484062819368</c:v>
                </c:pt>
                <c:pt idx="91">
                  <c:v>147.19275394994244</c:v>
                </c:pt>
                <c:pt idx="92">
                  <c:v>147.19275394994244</c:v>
                </c:pt>
                <c:pt idx="93">
                  <c:v>150.94858059343997</c:v>
                </c:pt>
                <c:pt idx="94">
                  <c:v>150.94858059343997</c:v>
                </c:pt>
                <c:pt idx="95">
                  <c:v>154.7044072369375</c:v>
                </c:pt>
                <c:pt idx="96">
                  <c:v>154.7044072369375</c:v>
                </c:pt>
                <c:pt idx="97">
                  <c:v>154.7044072369375</c:v>
                </c:pt>
                <c:pt idx="98">
                  <c:v>162.21606052393255</c:v>
                </c:pt>
                <c:pt idx="99">
                  <c:v>162.21606052393255</c:v>
                </c:pt>
                <c:pt idx="100">
                  <c:v>165.97188716743008</c:v>
                </c:pt>
                <c:pt idx="101">
                  <c:v>165.97188716743008</c:v>
                </c:pt>
                <c:pt idx="102">
                  <c:v>169.72771381092761</c:v>
                </c:pt>
                <c:pt idx="103">
                  <c:v>169.72771381092761</c:v>
                </c:pt>
                <c:pt idx="104">
                  <c:v>169.72771381092761</c:v>
                </c:pt>
                <c:pt idx="105">
                  <c:v>175.21244664311695</c:v>
                </c:pt>
                <c:pt idx="106">
                  <c:v>175.28444664311695</c:v>
                </c:pt>
                <c:pt idx="107">
                  <c:v>176.06844664311694</c:v>
                </c:pt>
                <c:pt idx="108">
                  <c:v>176.06844664311694</c:v>
                </c:pt>
                <c:pt idx="109">
                  <c:v>176.06844664311694</c:v>
                </c:pt>
                <c:pt idx="110">
                  <c:v>176.06844664311694</c:v>
                </c:pt>
                <c:pt idx="111">
                  <c:v>176.06844664311694</c:v>
                </c:pt>
                <c:pt idx="112">
                  <c:v>179.82427328661447</c:v>
                </c:pt>
                <c:pt idx="113">
                  <c:v>179.82427328661447</c:v>
                </c:pt>
                <c:pt idx="114">
                  <c:v>183.57940525142385</c:v>
                </c:pt>
                <c:pt idx="115">
                  <c:v>183.57940525142385</c:v>
                </c:pt>
                <c:pt idx="116">
                  <c:v>187.33523189492138</c:v>
                </c:pt>
                <c:pt idx="117">
                  <c:v>187.33523189492138</c:v>
                </c:pt>
                <c:pt idx="118">
                  <c:v>187.33523189492138</c:v>
                </c:pt>
                <c:pt idx="119">
                  <c:v>190.91172044971427</c:v>
                </c:pt>
                <c:pt idx="120">
                  <c:v>190.91172044971427</c:v>
                </c:pt>
              </c:numCache>
            </c:numRef>
          </c:yVal>
          <c:smooth val="0"/>
          <c:extLst>
            <c:ext xmlns:c16="http://schemas.microsoft.com/office/drawing/2014/chart" uri="{C3380CC4-5D6E-409C-BE32-E72D297353CC}">
              <c16:uniqueId val="{00000002-FD41-4C8D-971B-9BCC85E45534}"/>
            </c:ext>
          </c:extLst>
        </c:ser>
        <c:ser>
          <c:idx val="5"/>
          <c:order val="3"/>
          <c:tx>
            <c:v>Total DP from Irrigation</c:v>
          </c:tx>
          <c:spPr>
            <a:ln w="19050" cap="rnd">
              <a:solidFill>
                <a:srgbClr val="FF0000"/>
              </a:solidFill>
              <a:round/>
            </a:ln>
            <a:effectLst/>
          </c:spPr>
          <c:marker>
            <c:symbol val="none"/>
          </c:marker>
          <c:xVal>
            <c:numRef>
              <c:f>'Fig 8'!$N$11:$N$131</c:f>
              <c:numCache>
                <c:formatCode>m/d/yy;@</c:formatCode>
                <c:ptCount val="121"/>
                <c:pt idx="0">
                  <c:v>42156</c:v>
                </c:pt>
                <c:pt idx="1">
                  <c:v>42157</c:v>
                </c:pt>
                <c:pt idx="2">
                  <c:v>42158</c:v>
                </c:pt>
                <c:pt idx="3">
                  <c:v>42159</c:v>
                </c:pt>
                <c:pt idx="4">
                  <c:v>42160</c:v>
                </c:pt>
                <c:pt idx="5">
                  <c:v>42161</c:v>
                </c:pt>
                <c:pt idx="6">
                  <c:v>42162</c:v>
                </c:pt>
                <c:pt idx="7">
                  <c:v>42163</c:v>
                </c:pt>
                <c:pt idx="8">
                  <c:v>42164</c:v>
                </c:pt>
                <c:pt idx="9">
                  <c:v>42165</c:v>
                </c:pt>
                <c:pt idx="10">
                  <c:v>42166</c:v>
                </c:pt>
                <c:pt idx="11">
                  <c:v>42167</c:v>
                </c:pt>
                <c:pt idx="12">
                  <c:v>42168</c:v>
                </c:pt>
                <c:pt idx="13">
                  <c:v>42169</c:v>
                </c:pt>
                <c:pt idx="14">
                  <c:v>42170</c:v>
                </c:pt>
                <c:pt idx="15">
                  <c:v>42171</c:v>
                </c:pt>
                <c:pt idx="16">
                  <c:v>42172</c:v>
                </c:pt>
                <c:pt idx="17">
                  <c:v>42173</c:v>
                </c:pt>
                <c:pt idx="18">
                  <c:v>42174</c:v>
                </c:pt>
                <c:pt idx="19">
                  <c:v>42175</c:v>
                </c:pt>
                <c:pt idx="20">
                  <c:v>42176</c:v>
                </c:pt>
                <c:pt idx="21">
                  <c:v>42177</c:v>
                </c:pt>
                <c:pt idx="22">
                  <c:v>42178</c:v>
                </c:pt>
                <c:pt idx="23">
                  <c:v>42179</c:v>
                </c:pt>
                <c:pt idx="24">
                  <c:v>42180</c:v>
                </c:pt>
                <c:pt idx="25">
                  <c:v>42181</c:v>
                </c:pt>
                <c:pt idx="26">
                  <c:v>42182</c:v>
                </c:pt>
                <c:pt idx="27">
                  <c:v>42183</c:v>
                </c:pt>
                <c:pt idx="28">
                  <c:v>42184</c:v>
                </c:pt>
                <c:pt idx="29">
                  <c:v>42185</c:v>
                </c:pt>
                <c:pt idx="30">
                  <c:v>42186</c:v>
                </c:pt>
                <c:pt idx="31">
                  <c:v>42187</c:v>
                </c:pt>
                <c:pt idx="32">
                  <c:v>42188</c:v>
                </c:pt>
                <c:pt idx="33">
                  <c:v>42189</c:v>
                </c:pt>
                <c:pt idx="34">
                  <c:v>42190</c:v>
                </c:pt>
                <c:pt idx="35">
                  <c:v>42191</c:v>
                </c:pt>
                <c:pt idx="36">
                  <c:v>42192</c:v>
                </c:pt>
                <c:pt idx="37">
                  <c:v>42193</c:v>
                </c:pt>
                <c:pt idx="38">
                  <c:v>42194</c:v>
                </c:pt>
                <c:pt idx="39">
                  <c:v>42195</c:v>
                </c:pt>
                <c:pt idx="40">
                  <c:v>42196</c:v>
                </c:pt>
                <c:pt idx="41">
                  <c:v>42197</c:v>
                </c:pt>
                <c:pt idx="42">
                  <c:v>42198</c:v>
                </c:pt>
                <c:pt idx="43">
                  <c:v>42199</c:v>
                </c:pt>
                <c:pt idx="44">
                  <c:v>42200</c:v>
                </c:pt>
                <c:pt idx="45">
                  <c:v>42201</c:v>
                </c:pt>
                <c:pt idx="46">
                  <c:v>42202</c:v>
                </c:pt>
                <c:pt idx="47">
                  <c:v>42203</c:v>
                </c:pt>
                <c:pt idx="48">
                  <c:v>42204</c:v>
                </c:pt>
                <c:pt idx="49">
                  <c:v>42205</c:v>
                </c:pt>
                <c:pt idx="50">
                  <c:v>42206</c:v>
                </c:pt>
                <c:pt idx="51">
                  <c:v>42207</c:v>
                </c:pt>
                <c:pt idx="52">
                  <c:v>42208</c:v>
                </c:pt>
                <c:pt idx="53">
                  <c:v>42209</c:v>
                </c:pt>
                <c:pt idx="54">
                  <c:v>42210</c:v>
                </c:pt>
                <c:pt idx="55">
                  <c:v>42211</c:v>
                </c:pt>
                <c:pt idx="56">
                  <c:v>42212</c:v>
                </c:pt>
                <c:pt idx="57">
                  <c:v>42213</c:v>
                </c:pt>
                <c:pt idx="58">
                  <c:v>42214</c:v>
                </c:pt>
                <c:pt idx="59">
                  <c:v>42215</c:v>
                </c:pt>
                <c:pt idx="60">
                  <c:v>42216</c:v>
                </c:pt>
                <c:pt idx="61">
                  <c:v>42217</c:v>
                </c:pt>
                <c:pt idx="62">
                  <c:v>42218</c:v>
                </c:pt>
                <c:pt idx="63">
                  <c:v>42219</c:v>
                </c:pt>
                <c:pt idx="64">
                  <c:v>42220</c:v>
                </c:pt>
                <c:pt idx="65">
                  <c:v>42221</c:v>
                </c:pt>
                <c:pt idx="66">
                  <c:v>42222</c:v>
                </c:pt>
                <c:pt idx="67">
                  <c:v>42223</c:v>
                </c:pt>
                <c:pt idx="68">
                  <c:v>42224</c:v>
                </c:pt>
                <c:pt idx="69">
                  <c:v>42225</c:v>
                </c:pt>
                <c:pt idx="70">
                  <c:v>42226</c:v>
                </c:pt>
                <c:pt idx="71">
                  <c:v>42227</c:v>
                </c:pt>
                <c:pt idx="72">
                  <c:v>42228</c:v>
                </c:pt>
                <c:pt idx="73">
                  <c:v>42229</c:v>
                </c:pt>
                <c:pt idx="74">
                  <c:v>42230</c:v>
                </c:pt>
                <c:pt idx="75">
                  <c:v>42231</c:v>
                </c:pt>
                <c:pt idx="76">
                  <c:v>42232</c:v>
                </c:pt>
                <c:pt idx="77">
                  <c:v>42233</c:v>
                </c:pt>
                <c:pt idx="78">
                  <c:v>42234</c:v>
                </c:pt>
                <c:pt idx="79">
                  <c:v>42235</c:v>
                </c:pt>
                <c:pt idx="80">
                  <c:v>42236</c:v>
                </c:pt>
                <c:pt idx="81">
                  <c:v>42237</c:v>
                </c:pt>
                <c:pt idx="82">
                  <c:v>42238</c:v>
                </c:pt>
                <c:pt idx="83">
                  <c:v>42239</c:v>
                </c:pt>
                <c:pt idx="84">
                  <c:v>42240</c:v>
                </c:pt>
                <c:pt idx="85">
                  <c:v>42241</c:v>
                </c:pt>
                <c:pt idx="86">
                  <c:v>42242</c:v>
                </c:pt>
                <c:pt idx="87">
                  <c:v>42243</c:v>
                </c:pt>
                <c:pt idx="88">
                  <c:v>42244</c:v>
                </c:pt>
                <c:pt idx="89">
                  <c:v>42245</c:v>
                </c:pt>
                <c:pt idx="90">
                  <c:v>42246</c:v>
                </c:pt>
                <c:pt idx="91">
                  <c:v>42247</c:v>
                </c:pt>
                <c:pt idx="92">
                  <c:v>42248</c:v>
                </c:pt>
                <c:pt idx="93">
                  <c:v>42249</c:v>
                </c:pt>
                <c:pt idx="94">
                  <c:v>42250</c:v>
                </c:pt>
                <c:pt idx="95">
                  <c:v>42251</c:v>
                </c:pt>
                <c:pt idx="96">
                  <c:v>42252</c:v>
                </c:pt>
                <c:pt idx="97">
                  <c:v>42253</c:v>
                </c:pt>
                <c:pt idx="98">
                  <c:v>42254</c:v>
                </c:pt>
                <c:pt idx="99">
                  <c:v>42255</c:v>
                </c:pt>
                <c:pt idx="100">
                  <c:v>42256</c:v>
                </c:pt>
                <c:pt idx="101">
                  <c:v>42257</c:v>
                </c:pt>
                <c:pt idx="102">
                  <c:v>42258</c:v>
                </c:pt>
                <c:pt idx="103">
                  <c:v>42259</c:v>
                </c:pt>
                <c:pt idx="104">
                  <c:v>42260</c:v>
                </c:pt>
                <c:pt idx="105">
                  <c:v>42261</c:v>
                </c:pt>
                <c:pt idx="106">
                  <c:v>42262</c:v>
                </c:pt>
                <c:pt idx="107">
                  <c:v>42263</c:v>
                </c:pt>
                <c:pt idx="108">
                  <c:v>42264</c:v>
                </c:pt>
                <c:pt idx="109">
                  <c:v>42265</c:v>
                </c:pt>
                <c:pt idx="110">
                  <c:v>42266</c:v>
                </c:pt>
                <c:pt idx="111">
                  <c:v>42267</c:v>
                </c:pt>
                <c:pt idx="112">
                  <c:v>42268</c:v>
                </c:pt>
                <c:pt idx="113">
                  <c:v>42269</c:v>
                </c:pt>
                <c:pt idx="114">
                  <c:v>42270</c:v>
                </c:pt>
                <c:pt idx="115">
                  <c:v>42271</c:v>
                </c:pt>
                <c:pt idx="116">
                  <c:v>42272</c:v>
                </c:pt>
                <c:pt idx="117">
                  <c:v>42273</c:v>
                </c:pt>
                <c:pt idx="118">
                  <c:v>42274</c:v>
                </c:pt>
                <c:pt idx="119">
                  <c:v>42275</c:v>
                </c:pt>
                <c:pt idx="120">
                  <c:v>42276</c:v>
                </c:pt>
              </c:numCache>
            </c:numRef>
          </c:xVal>
          <c:yVal>
            <c:numRef>
              <c:f>'Fig 8'!$AW$11:$AW$131</c:f>
              <c:numCache>
                <c:formatCode>0.00</c:formatCode>
                <c:ptCount val="121"/>
                <c:pt idx="0">
                  <c:v>8.6621774193548404</c:v>
                </c:pt>
                <c:pt idx="1">
                  <c:v>8.6621774193548404</c:v>
                </c:pt>
                <c:pt idx="2">
                  <c:v>14.321517316383289</c:v>
                </c:pt>
                <c:pt idx="3">
                  <c:v>14.321517316383289</c:v>
                </c:pt>
                <c:pt idx="4">
                  <c:v>14.321517316383289</c:v>
                </c:pt>
                <c:pt idx="5">
                  <c:v>14.321517316383289</c:v>
                </c:pt>
                <c:pt idx="6">
                  <c:v>14.321517316383289</c:v>
                </c:pt>
                <c:pt idx="7">
                  <c:v>22.147177321410808</c:v>
                </c:pt>
                <c:pt idx="8">
                  <c:v>22.147177321410808</c:v>
                </c:pt>
                <c:pt idx="9">
                  <c:v>26.985742603281523</c:v>
                </c:pt>
                <c:pt idx="10">
                  <c:v>26.985742603281523</c:v>
                </c:pt>
                <c:pt idx="11">
                  <c:v>26.985742603281523</c:v>
                </c:pt>
                <c:pt idx="12">
                  <c:v>26.985742603281523</c:v>
                </c:pt>
                <c:pt idx="13">
                  <c:v>26.985742603281523</c:v>
                </c:pt>
                <c:pt idx="14">
                  <c:v>35.031748858831563</c:v>
                </c:pt>
                <c:pt idx="15">
                  <c:v>35.031748858831563</c:v>
                </c:pt>
                <c:pt idx="16">
                  <c:v>39.581296931759645</c:v>
                </c:pt>
                <c:pt idx="17">
                  <c:v>39.581296931759645</c:v>
                </c:pt>
                <c:pt idx="18">
                  <c:v>44.512418140216212</c:v>
                </c:pt>
                <c:pt idx="19">
                  <c:v>44.512418140216212</c:v>
                </c:pt>
                <c:pt idx="20">
                  <c:v>44.512418140216212</c:v>
                </c:pt>
                <c:pt idx="21">
                  <c:v>51.06827522557699</c:v>
                </c:pt>
                <c:pt idx="22">
                  <c:v>51.06827522557699</c:v>
                </c:pt>
                <c:pt idx="23">
                  <c:v>55.247215614707095</c:v>
                </c:pt>
                <c:pt idx="24">
                  <c:v>55.247215614707095</c:v>
                </c:pt>
                <c:pt idx="25">
                  <c:v>59.609038540865683</c:v>
                </c:pt>
                <c:pt idx="26">
                  <c:v>59.609038540865683</c:v>
                </c:pt>
                <c:pt idx="27">
                  <c:v>59.609038540865683</c:v>
                </c:pt>
                <c:pt idx="28">
                  <c:v>64.841538163457045</c:v>
                </c:pt>
                <c:pt idx="29">
                  <c:v>64.841538163457045</c:v>
                </c:pt>
                <c:pt idx="30">
                  <c:v>68.580649173784522</c:v>
                </c:pt>
                <c:pt idx="31">
                  <c:v>68.580649173784522</c:v>
                </c:pt>
                <c:pt idx="32">
                  <c:v>72.506504352786024</c:v>
                </c:pt>
                <c:pt idx="33">
                  <c:v>72.506504352786024</c:v>
                </c:pt>
                <c:pt idx="34">
                  <c:v>72.506504352786024</c:v>
                </c:pt>
                <c:pt idx="35">
                  <c:v>72.506504352786024</c:v>
                </c:pt>
                <c:pt idx="36">
                  <c:v>72.506504352786024</c:v>
                </c:pt>
                <c:pt idx="37">
                  <c:v>72.506504352786024</c:v>
                </c:pt>
                <c:pt idx="38">
                  <c:v>72.506504352786024</c:v>
                </c:pt>
                <c:pt idx="39">
                  <c:v>76.051689619513752</c:v>
                </c:pt>
                <c:pt idx="40">
                  <c:v>76.051689619513752</c:v>
                </c:pt>
                <c:pt idx="41">
                  <c:v>76.051689619513752</c:v>
                </c:pt>
                <c:pt idx="42">
                  <c:v>76.051689619513752</c:v>
                </c:pt>
                <c:pt idx="43">
                  <c:v>76.051689619513752</c:v>
                </c:pt>
                <c:pt idx="44">
                  <c:v>79.634733234397828</c:v>
                </c:pt>
                <c:pt idx="45">
                  <c:v>79.634733234397828</c:v>
                </c:pt>
                <c:pt idx="46">
                  <c:v>83.759494284684962</c:v>
                </c:pt>
                <c:pt idx="47">
                  <c:v>83.759494284684962</c:v>
                </c:pt>
                <c:pt idx="48">
                  <c:v>83.759494284684962</c:v>
                </c:pt>
                <c:pt idx="49">
                  <c:v>83.759494284684962</c:v>
                </c:pt>
                <c:pt idx="50">
                  <c:v>83.759494284684962</c:v>
                </c:pt>
                <c:pt idx="51">
                  <c:v>83.759494284684962</c:v>
                </c:pt>
                <c:pt idx="52">
                  <c:v>83.759494284684962</c:v>
                </c:pt>
                <c:pt idx="53">
                  <c:v>87.086537666438304</c:v>
                </c:pt>
                <c:pt idx="54">
                  <c:v>87.086537666438304</c:v>
                </c:pt>
                <c:pt idx="55">
                  <c:v>87.086537666438304</c:v>
                </c:pt>
                <c:pt idx="56">
                  <c:v>93.198347681235404</c:v>
                </c:pt>
                <c:pt idx="57">
                  <c:v>93.198347681235404</c:v>
                </c:pt>
                <c:pt idx="58">
                  <c:v>96.83965125354635</c:v>
                </c:pt>
                <c:pt idx="59">
                  <c:v>96.83965125354635</c:v>
                </c:pt>
                <c:pt idx="60">
                  <c:v>100.81254949391612</c:v>
                </c:pt>
                <c:pt idx="61">
                  <c:v>100.81254949391612</c:v>
                </c:pt>
                <c:pt idx="62">
                  <c:v>100.81254949391612</c:v>
                </c:pt>
                <c:pt idx="63">
                  <c:v>100.81254949391612</c:v>
                </c:pt>
                <c:pt idx="64">
                  <c:v>100.81254949391612</c:v>
                </c:pt>
                <c:pt idx="65">
                  <c:v>104.56965839192588</c:v>
                </c:pt>
                <c:pt idx="66">
                  <c:v>104.56965839192588</c:v>
                </c:pt>
                <c:pt idx="67">
                  <c:v>104.56965839192588</c:v>
                </c:pt>
                <c:pt idx="68">
                  <c:v>104.56965839192588</c:v>
                </c:pt>
                <c:pt idx="69">
                  <c:v>104.56965839192588</c:v>
                </c:pt>
                <c:pt idx="70">
                  <c:v>111.46252773166678</c:v>
                </c:pt>
                <c:pt idx="71">
                  <c:v>111.46252773166678</c:v>
                </c:pt>
                <c:pt idx="72">
                  <c:v>111.46252773166678</c:v>
                </c:pt>
                <c:pt idx="73">
                  <c:v>111.46252773166678</c:v>
                </c:pt>
                <c:pt idx="74">
                  <c:v>111.46252773166678</c:v>
                </c:pt>
                <c:pt idx="75">
                  <c:v>111.46252773166678</c:v>
                </c:pt>
                <c:pt idx="76">
                  <c:v>111.46252773166678</c:v>
                </c:pt>
                <c:pt idx="77">
                  <c:v>117.90506979485653</c:v>
                </c:pt>
                <c:pt idx="78">
                  <c:v>117.90506979485653</c:v>
                </c:pt>
                <c:pt idx="79">
                  <c:v>121.66395720526299</c:v>
                </c:pt>
                <c:pt idx="80">
                  <c:v>121.66395720526299</c:v>
                </c:pt>
                <c:pt idx="81">
                  <c:v>125.01030450991755</c:v>
                </c:pt>
                <c:pt idx="82">
                  <c:v>125.01030450991755</c:v>
                </c:pt>
                <c:pt idx="83">
                  <c:v>125.01030450991755</c:v>
                </c:pt>
                <c:pt idx="84">
                  <c:v>131.65227926315092</c:v>
                </c:pt>
                <c:pt idx="85">
                  <c:v>131.65227926315092</c:v>
                </c:pt>
                <c:pt idx="86">
                  <c:v>131.65227926315092</c:v>
                </c:pt>
                <c:pt idx="87">
                  <c:v>131.65227926315092</c:v>
                </c:pt>
                <c:pt idx="88">
                  <c:v>134.82094061739224</c:v>
                </c:pt>
                <c:pt idx="89">
                  <c:v>134.82094061739224</c:v>
                </c:pt>
                <c:pt idx="90">
                  <c:v>134.82094061739224</c:v>
                </c:pt>
                <c:pt idx="91">
                  <c:v>136.178280385422</c:v>
                </c:pt>
                <c:pt idx="92">
                  <c:v>136.178280385422</c:v>
                </c:pt>
                <c:pt idx="93">
                  <c:v>139.53566570660547</c:v>
                </c:pt>
                <c:pt idx="94">
                  <c:v>139.53566570660547</c:v>
                </c:pt>
                <c:pt idx="95">
                  <c:v>142.88555516002035</c:v>
                </c:pt>
                <c:pt idx="96">
                  <c:v>142.88555516002035</c:v>
                </c:pt>
                <c:pt idx="97">
                  <c:v>142.88555516002035</c:v>
                </c:pt>
                <c:pt idx="98">
                  <c:v>150.07425638089973</c:v>
                </c:pt>
                <c:pt idx="99">
                  <c:v>150.07425638089973</c:v>
                </c:pt>
                <c:pt idx="100">
                  <c:v>153.63350616489313</c:v>
                </c:pt>
                <c:pt idx="101">
                  <c:v>153.63350616489313</c:v>
                </c:pt>
                <c:pt idx="102">
                  <c:v>157.20578487450638</c:v>
                </c:pt>
                <c:pt idx="103">
                  <c:v>157.20578487450638</c:v>
                </c:pt>
                <c:pt idx="104">
                  <c:v>157.20578487450638</c:v>
                </c:pt>
                <c:pt idx="105">
                  <c:v>162.37617555572078</c:v>
                </c:pt>
                <c:pt idx="106">
                  <c:v>162.37617555572078</c:v>
                </c:pt>
                <c:pt idx="107">
                  <c:v>162.37617555572078</c:v>
                </c:pt>
                <c:pt idx="108">
                  <c:v>162.37617555572078</c:v>
                </c:pt>
                <c:pt idx="109">
                  <c:v>162.37617555572078</c:v>
                </c:pt>
                <c:pt idx="110">
                  <c:v>162.37617555572078</c:v>
                </c:pt>
                <c:pt idx="111">
                  <c:v>162.37617555572078</c:v>
                </c:pt>
                <c:pt idx="112">
                  <c:v>165.9477501331026</c:v>
                </c:pt>
                <c:pt idx="113">
                  <c:v>165.9477501331026</c:v>
                </c:pt>
                <c:pt idx="114">
                  <c:v>169.63019780039133</c:v>
                </c:pt>
                <c:pt idx="115">
                  <c:v>169.63019780039133</c:v>
                </c:pt>
                <c:pt idx="116">
                  <c:v>173.31667237777316</c:v>
                </c:pt>
                <c:pt idx="117">
                  <c:v>173.31667237777316</c:v>
                </c:pt>
                <c:pt idx="118">
                  <c:v>173.31667237777316</c:v>
                </c:pt>
                <c:pt idx="119">
                  <c:v>176.7856072135578</c:v>
                </c:pt>
                <c:pt idx="120">
                  <c:v>176.7856072135578</c:v>
                </c:pt>
              </c:numCache>
            </c:numRef>
          </c:yVal>
          <c:smooth val="0"/>
          <c:extLst>
            <c:ext xmlns:c16="http://schemas.microsoft.com/office/drawing/2014/chart" uri="{C3380CC4-5D6E-409C-BE32-E72D297353CC}">
              <c16:uniqueId val="{00000003-FD41-4C8D-971B-9BCC85E45534}"/>
            </c:ext>
          </c:extLst>
        </c:ser>
        <c:dLbls>
          <c:showLegendKey val="0"/>
          <c:showVal val="0"/>
          <c:showCatName val="0"/>
          <c:showSerName val="0"/>
          <c:showPercent val="0"/>
          <c:showBubbleSize val="0"/>
        </c:dLbls>
        <c:axId val="227181696"/>
        <c:axId val="227182848"/>
      </c:scatterChart>
      <c:valAx>
        <c:axId val="227181696"/>
        <c:scaling>
          <c:orientation val="minMax"/>
          <c:max val="42275"/>
          <c:min val="4215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7182848"/>
        <c:crossesAt val="0"/>
        <c:crossBetween val="midCat"/>
        <c:majorUnit val="7"/>
      </c:valAx>
      <c:valAx>
        <c:axId val="227182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7181696"/>
        <c:crosses val="autoZero"/>
        <c:crossBetween val="midCat"/>
        <c:majorUnit val="10"/>
      </c:valAx>
      <c:spPr>
        <a:noFill/>
        <a:ln w="57150">
          <a:noFill/>
        </a:ln>
        <a:effectLst/>
      </c:spPr>
    </c:plotArea>
    <c:legend>
      <c:legendPos val="r"/>
      <c:layout>
        <c:manualLayout>
          <c:xMode val="edge"/>
          <c:yMode val="edge"/>
          <c:x val="0.86582950377440326"/>
          <c:y val="0.296940031982181"/>
          <c:w val="0.12016098383301507"/>
          <c:h val="0.386764200880468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21</xdr:col>
      <xdr:colOff>67236</xdr:colOff>
      <xdr:row>40</xdr:row>
      <xdr:rowOff>78442</xdr:rowOff>
    </xdr:from>
    <xdr:to>
      <xdr:col>25</xdr:col>
      <xdr:colOff>582706</xdr:colOff>
      <xdr:row>60</xdr:row>
      <xdr:rowOff>97514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203207" y="8942295"/>
          <a:ext cx="2935941" cy="38626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54</xdr:col>
      <xdr:colOff>372257</xdr:colOff>
      <xdr:row>5</xdr:row>
      <xdr:rowOff>105628</xdr:rowOff>
    </xdr:from>
    <xdr:to>
      <xdr:col>70</xdr:col>
      <xdr:colOff>324973</xdr:colOff>
      <xdr:row>27</xdr:row>
      <xdr:rowOff>134469</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xdr:col>
      <xdr:colOff>541610</xdr:colOff>
      <xdr:row>29</xdr:row>
      <xdr:rowOff>111644</xdr:rowOff>
    </xdr:from>
    <xdr:to>
      <xdr:col>70</xdr:col>
      <xdr:colOff>481853</xdr:colOff>
      <xdr:row>55</xdr:row>
      <xdr:rowOff>78441</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323290</xdr:colOff>
      <xdr:row>61</xdr:row>
      <xdr:rowOff>162485</xdr:rowOff>
    </xdr:from>
    <xdr:to>
      <xdr:col>71</xdr:col>
      <xdr:colOff>8065</xdr:colOff>
      <xdr:row>83</xdr:row>
      <xdr:rowOff>16809</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28</xdr:col>
      <xdr:colOff>0</xdr:colOff>
      <xdr:row>135</xdr:row>
      <xdr:rowOff>0</xdr:rowOff>
    </xdr:from>
    <xdr:to>
      <xdr:col>32</xdr:col>
      <xdr:colOff>287110</xdr:colOff>
      <xdr:row>137</xdr:row>
      <xdr:rowOff>25254</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7097375" y="28946475"/>
          <a:ext cx="2725510" cy="406254"/>
        </a:xfrm>
        <a:prstGeom prst="rect">
          <a:avLst/>
        </a:prstGeom>
      </xdr:spPr>
    </xdr:pic>
    <xdr:clientData/>
  </xdr:twoCellAnchor>
  <xdr:twoCellAnchor>
    <xdr:from>
      <xdr:col>54</xdr:col>
      <xdr:colOff>593912</xdr:colOff>
      <xdr:row>73</xdr:row>
      <xdr:rowOff>156884</xdr:rowOff>
    </xdr:from>
    <xdr:to>
      <xdr:col>72</xdr:col>
      <xdr:colOff>425824</xdr:colOff>
      <xdr:row>95</xdr:row>
      <xdr:rowOff>11208</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72</xdr:col>
      <xdr:colOff>112058</xdr:colOff>
      <xdr:row>32</xdr:row>
      <xdr:rowOff>11205</xdr:rowOff>
    </xdr:from>
    <xdr:to>
      <xdr:col>88</xdr:col>
      <xdr:colOff>401951</xdr:colOff>
      <xdr:row>52</xdr:row>
      <xdr:rowOff>51474</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81"/>
  <sheetViews>
    <sheetView zoomScale="85" zoomScaleNormal="85" workbookViewId="0">
      <selection activeCell="B37" sqref="B37"/>
    </sheetView>
  </sheetViews>
  <sheetFormatPr defaultRowHeight="15" x14ac:dyDescent="0.25"/>
  <cols>
    <col min="1" max="1" width="17.28515625" customWidth="1"/>
    <col min="2" max="2" width="20.5703125" bestFit="1" customWidth="1"/>
    <col min="3" max="3" width="20.5703125" style="121" customWidth="1"/>
    <col min="4" max="4" width="16.7109375" customWidth="1"/>
    <col min="5" max="5" width="9.140625" style="7"/>
    <col min="11" max="11" width="11.140625" customWidth="1"/>
    <col min="12" max="12" width="10.42578125" customWidth="1"/>
    <col min="13" max="13" width="10.28515625" customWidth="1"/>
    <col min="14" max="15" width="10.42578125" customWidth="1"/>
    <col min="16" max="16" width="10" customWidth="1"/>
    <col min="17" max="17" width="10.28515625" customWidth="1"/>
    <col min="18" max="18" width="9.140625" style="24"/>
    <col min="19" max="19" width="12.7109375" customWidth="1"/>
  </cols>
  <sheetData>
    <row r="1" spans="1:20" x14ac:dyDescent="0.25">
      <c r="D1" s="159" t="s">
        <v>270</v>
      </c>
      <c r="E1" s="160"/>
      <c r="F1" s="160"/>
      <c r="G1" s="161"/>
      <c r="H1" s="160"/>
      <c r="I1" s="160"/>
      <c r="J1" s="158" t="s">
        <v>269</v>
      </c>
      <c r="K1" s="158"/>
      <c r="L1" s="158"/>
      <c r="M1" s="158"/>
      <c r="N1" s="158"/>
    </row>
    <row r="2" spans="1:20" ht="90" x14ac:dyDescent="0.25">
      <c r="A2" s="2" t="s">
        <v>228</v>
      </c>
      <c r="B2" s="137" t="s">
        <v>229</v>
      </c>
      <c r="C2" s="138" t="s">
        <v>301</v>
      </c>
      <c r="D2" s="2" t="s">
        <v>230</v>
      </c>
      <c r="E2" s="2" t="s">
        <v>267</v>
      </c>
      <c r="F2" s="2" t="s">
        <v>231</v>
      </c>
      <c r="G2" s="136" t="s">
        <v>232</v>
      </c>
      <c r="H2" s="139" t="s">
        <v>308</v>
      </c>
      <c r="I2" s="2" t="s">
        <v>233</v>
      </c>
      <c r="J2" s="2" t="s">
        <v>234</v>
      </c>
      <c r="K2" s="74" t="s">
        <v>235</v>
      </c>
      <c r="L2" s="75" t="s">
        <v>236</v>
      </c>
      <c r="M2" s="2" t="s">
        <v>237</v>
      </c>
      <c r="N2" s="143" t="s">
        <v>238</v>
      </c>
      <c r="O2" s="76" t="s">
        <v>239</v>
      </c>
      <c r="P2" s="2" t="s">
        <v>266</v>
      </c>
      <c r="Q2" s="74" t="s">
        <v>323</v>
      </c>
      <c r="R2" s="137" t="s">
        <v>300</v>
      </c>
      <c r="T2" s="2" t="s">
        <v>240</v>
      </c>
    </row>
    <row r="3" spans="1:20" s="100" customFormat="1" ht="16.5" customHeight="1" thickBot="1" x14ac:dyDescent="0.3">
      <c r="A3" s="172" t="s">
        <v>360</v>
      </c>
      <c r="B3" s="117" t="s">
        <v>171</v>
      </c>
      <c r="C3" s="122">
        <v>1</v>
      </c>
      <c r="D3" s="100" t="s">
        <v>241</v>
      </c>
      <c r="E3" s="102" t="s">
        <v>268</v>
      </c>
      <c r="F3" s="103">
        <v>2</v>
      </c>
      <c r="G3" s="103">
        <f>F3*3.28</f>
        <v>6.56</v>
      </c>
      <c r="H3" s="117">
        <f>G3*C3</f>
        <v>6.56</v>
      </c>
      <c r="I3" s="103">
        <f>H3*12</f>
        <v>78.72</v>
      </c>
      <c r="J3" s="104" t="s">
        <v>242</v>
      </c>
      <c r="K3" s="105">
        <v>1</v>
      </c>
      <c r="L3" s="106">
        <v>0.08</v>
      </c>
      <c r="M3" s="103">
        <f>L3*K3</f>
        <v>0.08</v>
      </c>
      <c r="N3" s="107">
        <f>M3*12</f>
        <v>0.96</v>
      </c>
      <c r="O3" s="128" t="s">
        <v>243</v>
      </c>
      <c r="P3" s="103">
        <v>0.55000000000000004</v>
      </c>
      <c r="Q3" s="109">
        <v>0.55000000000000004</v>
      </c>
      <c r="R3" s="122">
        <f>Q3</f>
        <v>0.55000000000000004</v>
      </c>
      <c r="T3" s="108" t="s">
        <v>244</v>
      </c>
    </row>
    <row r="4" spans="1:20" s="100" customFormat="1" ht="15.75" thickBot="1" x14ac:dyDescent="0.3">
      <c r="A4" s="172" t="s">
        <v>360</v>
      </c>
      <c r="B4" s="117" t="s">
        <v>245</v>
      </c>
      <c r="C4" s="122">
        <v>1</v>
      </c>
      <c r="E4" s="102" t="s">
        <v>268</v>
      </c>
      <c r="F4" s="103">
        <v>1</v>
      </c>
      <c r="G4" s="103">
        <f>F4*3.28</f>
        <v>3.28</v>
      </c>
      <c r="H4" s="117">
        <f t="shared" ref="H4:H33" si="0">G4*C4</f>
        <v>3.28</v>
      </c>
      <c r="I4" s="103">
        <f t="shared" ref="I4:I6" si="1">H4*12</f>
        <v>39.36</v>
      </c>
      <c r="J4" s="103" t="s">
        <v>246</v>
      </c>
      <c r="K4" s="109">
        <v>1</v>
      </c>
      <c r="L4" s="110">
        <v>0.17</v>
      </c>
      <c r="M4" s="103">
        <f t="shared" ref="M4" si="2">L4*K4</f>
        <v>0.17</v>
      </c>
      <c r="N4" s="111">
        <f t="shared" ref="N4:N34" si="3">M4*12</f>
        <v>2.04</v>
      </c>
      <c r="O4" s="128">
        <v>50</v>
      </c>
      <c r="P4" s="103">
        <v>0.5</v>
      </c>
      <c r="Q4" s="109">
        <v>0.5</v>
      </c>
      <c r="R4" s="122">
        <f>Q4</f>
        <v>0.5</v>
      </c>
    </row>
    <row r="5" spans="1:20" s="100" customFormat="1" ht="15.75" thickBot="1" x14ac:dyDescent="0.3">
      <c r="A5" s="172" t="s">
        <v>360</v>
      </c>
      <c r="B5" s="117" t="s">
        <v>247</v>
      </c>
      <c r="C5" s="122">
        <v>1</v>
      </c>
      <c r="D5" s="100" t="s">
        <v>248</v>
      </c>
      <c r="E5" s="102" t="s">
        <v>271</v>
      </c>
      <c r="F5" s="103">
        <v>1.2</v>
      </c>
      <c r="G5" s="103">
        <v>2</v>
      </c>
      <c r="H5" s="117">
        <f t="shared" si="0"/>
        <v>2</v>
      </c>
      <c r="I5" s="103">
        <f t="shared" si="1"/>
        <v>24</v>
      </c>
      <c r="J5" s="103" t="s">
        <v>249</v>
      </c>
      <c r="K5" s="109">
        <v>1</v>
      </c>
      <c r="L5" s="110">
        <v>0.06</v>
      </c>
      <c r="M5" s="103">
        <v>0.1</v>
      </c>
      <c r="N5" s="111">
        <f t="shared" si="3"/>
        <v>1.2000000000000002</v>
      </c>
      <c r="O5" s="128" t="s">
        <v>250</v>
      </c>
      <c r="P5" s="103">
        <v>0.3</v>
      </c>
      <c r="Q5" s="109">
        <v>0.3</v>
      </c>
      <c r="R5" s="122">
        <f>Q5</f>
        <v>0.3</v>
      </c>
    </row>
    <row r="6" spans="1:20" s="10" customFormat="1" x14ac:dyDescent="0.25">
      <c r="A6" s="173" t="s">
        <v>360</v>
      </c>
      <c r="B6" s="118" t="s">
        <v>247</v>
      </c>
      <c r="C6" s="123">
        <v>1</v>
      </c>
      <c r="D6" s="10" t="s">
        <v>248</v>
      </c>
      <c r="E6" s="112" t="s">
        <v>271</v>
      </c>
      <c r="F6" s="113">
        <v>1.2</v>
      </c>
      <c r="G6" s="113">
        <v>2</v>
      </c>
      <c r="H6" s="118">
        <f t="shared" si="0"/>
        <v>2</v>
      </c>
      <c r="I6" s="113">
        <f t="shared" si="1"/>
        <v>24</v>
      </c>
      <c r="J6" s="113" t="s">
        <v>251</v>
      </c>
      <c r="K6" s="114">
        <v>0.35899999999999999</v>
      </c>
      <c r="L6" s="115">
        <v>0.19</v>
      </c>
      <c r="M6" s="113">
        <f>(L6*K6+L7*K7+L8*K8)/1</f>
        <v>0.13186999999999999</v>
      </c>
      <c r="N6" s="99">
        <f t="shared" si="3"/>
        <v>1.5824399999999998</v>
      </c>
      <c r="O6" s="129" t="s">
        <v>250</v>
      </c>
      <c r="P6" s="113">
        <v>0.3</v>
      </c>
      <c r="Q6" s="114">
        <v>0.3</v>
      </c>
      <c r="R6" s="123">
        <f>Q6</f>
        <v>0.3</v>
      </c>
    </row>
    <row r="7" spans="1:20" s="10" customFormat="1" x14ac:dyDescent="0.25">
      <c r="A7" s="156"/>
      <c r="B7" s="118"/>
      <c r="C7" s="123"/>
      <c r="E7" s="112"/>
      <c r="F7" s="113"/>
      <c r="G7" s="113"/>
      <c r="H7" s="118"/>
      <c r="I7" s="113"/>
      <c r="J7" s="113" t="s">
        <v>242</v>
      </c>
      <c r="K7" s="114">
        <v>0.58799999999999997</v>
      </c>
      <c r="L7" s="115">
        <v>0.1</v>
      </c>
      <c r="M7" s="113"/>
      <c r="N7" s="116"/>
      <c r="O7" s="129"/>
      <c r="P7" s="113"/>
      <c r="Q7" s="114"/>
      <c r="R7" s="123"/>
    </row>
    <row r="8" spans="1:20" s="100" customFormat="1" ht="15.75" thickBot="1" x14ac:dyDescent="0.3">
      <c r="A8" s="157"/>
      <c r="B8" s="117"/>
      <c r="C8" s="122"/>
      <c r="E8" s="102"/>
      <c r="F8" s="103"/>
      <c r="G8" s="103"/>
      <c r="H8" s="117"/>
      <c r="I8" s="103"/>
      <c r="J8" s="103" t="s">
        <v>252</v>
      </c>
      <c r="K8" s="109">
        <v>5.3999999999999999E-2</v>
      </c>
      <c r="L8" s="110">
        <v>0.09</v>
      </c>
      <c r="M8" s="103"/>
      <c r="N8" s="107"/>
      <c r="O8" s="128"/>
      <c r="P8" s="103"/>
      <c r="Q8" s="109"/>
      <c r="R8" s="122"/>
    </row>
    <row r="9" spans="1:20" s="100" customFormat="1" ht="15.75" thickBot="1" x14ac:dyDescent="0.3">
      <c r="A9" s="172" t="s">
        <v>360</v>
      </c>
      <c r="B9" s="117" t="s">
        <v>247</v>
      </c>
      <c r="C9" s="122">
        <v>1</v>
      </c>
      <c r="D9" s="100" t="s">
        <v>248</v>
      </c>
      <c r="E9" s="102" t="s">
        <v>271</v>
      </c>
      <c r="F9" s="103">
        <v>1.2</v>
      </c>
      <c r="G9" s="103">
        <v>2</v>
      </c>
      <c r="H9" s="117">
        <f t="shared" si="0"/>
        <v>2</v>
      </c>
      <c r="I9" s="103">
        <f>H9*12</f>
        <v>24</v>
      </c>
      <c r="J9" s="103" t="s">
        <v>253</v>
      </c>
      <c r="K9" s="109">
        <v>1</v>
      </c>
      <c r="L9" s="110">
        <v>0.1</v>
      </c>
      <c r="M9" s="103">
        <f>L9*K9</f>
        <v>0.1</v>
      </c>
      <c r="N9" s="111">
        <f t="shared" si="3"/>
        <v>1.2000000000000002</v>
      </c>
      <c r="O9" s="128" t="s">
        <v>250</v>
      </c>
      <c r="P9" s="103">
        <v>0.3</v>
      </c>
      <c r="Q9" s="109">
        <v>0.3</v>
      </c>
      <c r="R9" s="122">
        <f>Q9</f>
        <v>0.3</v>
      </c>
    </row>
    <row r="10" spans="1:20" s="10" customFormat="1" x14ac:dyDescent="0.25">
      <c r="A10" s="174" t="s">
        <v>360</v>
      </c>
      <c r="B10" s="119" t="s">
        <v>295</v>
      </c>
      <c r="C10" s="124">
        <v>0.51</v>
      </c>
      <c r="E10" s="112" t="s">
        <v>268</v>
      </c>
      <c r="F10" s="113">
        <v>1</v>
      </c>
      <c r="G10" s="113">
        <f t="shared" ref="G10:G35" si="4">F10*3.28</f>
        <v>3.28</v>
      </c>
      <c r="H10" s="118">
        <f>G10*C10+G11*C11</f>
        <v>4.0835999999999997</v>
      </c>
      <c r="I10" s="113">
        <f t="shared" ref="I10:I14" si="5">H10*12</f>
        <v>49.003199999999993</v>
      </c>
      <c r="J10" s="113" t="s">
        <v>254</v>
      </c>
      <c r="K10" s="114">
        <v>1</v>
      </c>
      <c r="L10" s="115">
        <v>0.18</v>
      </c>
      <c r="M10" s="113">
        <f t="shared" ref="M10:M16" si="6">L10*K10</f>
        <v>0.18</v>
      </c>
      <c r="N10" s="99">
        <f t="shared" si="3"/>
        <v>2.16</v>
      </c>
      <c r="O10" s="129" t="s">
        <v>250</v>
      </c>
      <c r="P10" s="113">
        <v>0.5</v>
      </c>
      <c r="Q10" s="114">
        <v>0.5</v>
      </c>
      <c r="R10" s="123">
        <f>Q10*C10+Q11*C11</f>
        <v>0.54899999999999993</v>
      </c>
    </row>
    <row r="11" spans="1:20" s="100" customFormat="1" ht="15.75" thickBot="1" x14ac:dyDescent="0.3">
      <c r="B11" s="117" t="s">
        <v>255</v>
      </c>
      <c r="C11" s="122">
        <v>0.49</v>
      </c>
      <c r="E11" s="102" t="s">
        <v>287</v>
      </c>
      <c r="F11" s="103">
        <v>1.5</v>
      </c>
      <c r="G11" s="103">
        <f t="shared" si="4"/>
        <v>4.92</v>
      </c>
      <c r="H11" s="117"/>
      <c r="I11" s="103"/>
      <c r="J11" s="103"/>
      <c r="K11" s="109"/>
      <c r="L11" s="110"/>
      <c r="M11" s="103"/>
      <c r="N11" s="107"/>
      <c r="O11" s="128">
        <v>50</v>
      </c>
      <c r="P11" s="103">
        <v>0.6</v>
      </c>
      <c r="Q11" s="109">
        <v>0.6</v>
      </c>
      <c r="R11" s="122"/>
    </row>
    <row r="12" spans="1:20" s="100" customFormat="1" ht="15.75" thickBot="1" x14ac:dyDescent="0.3">
      <c r="A12" s="172" t="s">
        <v>360</v>
      </c>
      <c r="B12" s="117" t="s">
        <v>255</v>
      </c>
      <c r="C12" s="122">
        <v>1</v>
      </c>
      <c r="E12" s="102" t="s">
        <v>287</v>
      </c>
      <c r="F12" s="103">
        <v>1.5</v>
      </c>
      <c r="G12" s="103">
        <f t="shared" si="4"/>
        <v>4.92</v>
      </c>
      <c r="H12" s="117">
        <f t="shared" si="0"/>
        <v>4.92</v>
      </c>
      <c r="I12" s="103">
        <f t="shared" si="5"/>
        <v>59.04</v>
      </c>
      <c r="J12" s="103" t="s">
        <v>242</v>
      </c>
      <c r="K12" s="109">
        <v>1</v>
      </c>
      <c r="L12" s="110">
        <v>0.1</v>
      </c>
      <c r="M12" s="103">
        <f t="shared" si="6"/>
        <v>0.1</v>
      </c>
      <c r="N12" s="111">
        <f t="shared" si="3"/>
        <v>1.2000000000000002</v>
      </c>
      <c r="O12" s="128">
        <v>50</v>
      </c>
      <c r="P12" s="103">
        <v>0.6</v>
      </c>
      <c r="Q12" s="109">
        <v>0.6</v>
      </c>
      <c r="R12" s="122">
        <f>Q12</f>
        <v>0.6</v>
      </c>
    </row>
    <row r="13" spans="1:20" s="100" customFormat="1" ht="15.75" thickBot="1" x14ac:dyDescent="0.3">
      <c r="A13" s="172" t="s">
        <v>360</v>
      </c>
      <c r="B13" s="117" t="s">
        <v>247</v>
      </c>
      <c r="C13" s="122">
        <v>1</v>
      </c>
      <c r="D13" s="100" t="s">
        <v>248</v>
      </c>
      <c r="E13" s="102" t="s">
        <v>271</v>
      </c>
      <c r="F13" s="103">
        <v>1.2</v>
      </c>
      <c r="G13" s="103">
        <v>2</v>
      </c>
      <c r="H13" s="117">
        <f t="shared" si="0"/>
        <v>2</v>
      </c>
      <c r="I13" s="103">
        <f t="shared" si="5"/>
        <v>24</v>
      </c>
      <c r="J13" s="103" t="s">
        <v>252</v>
      </c>
      <c r="K13" s="109">
        <v>1</v>
      </c>
      <c r="L13" s="110">
        <v>0.09</v>
      </c>
      <c r="M13" s="103">
        <f t="shared" si="6"/>
        <v>0.09</v>
      </c>
      <c r="N13" s="111">
        <f t="shared" si="3"/>
        <v>1.08</v>
      </c>
      <c r="O13" s="128" t="s">
        <v>250</v>
      </c>
      <c r="P13" s="103">
        <v>0.3</v>
      </c>
      <c r="Q13" s="109">
        <v>0.3</v>
      </c>
      <c r="R13" s="122">
        <f>Q13</f>
        <v>0.3</v>
      </c>
    </row>
    <row r="14" spans="1:20" s="10" customFormat="1" x14ac:dyDescent="0.25">
      <c r="A14" s="174" t="s">
        <v>360</v>
      </c>
      <c r="B14" s="119" t="s">
        <v>296</v>
      </c>
      <c r="C14" s="124">
        <v>0.16</v>
      </c>
      <c r="D14" s="10" t="s">
        <v>256</v>
      </c>
      <c r="E14" s="112" t="s">
        <v>298</v>
      </c>
      <c r="F14" s="113">
        <v>1.7</v>
      </c>
      <c r="G14" s="113">
        <f t="shared" si="4"/>
        <v>5.5759999999999996</v>
      </c>
      <c r="H14" s="118">
        <f>G14*C14+G15*C15</f>
        <v>5.0249599999999992</v>
      </c>
      <c r="I14" s="113">
        <f t="shared" si="5"/>
        <v>60.299519999999987</v>
      </c>
      <c r="J14" s="113" t="s">
        <v>257</v>
      </c>
      <c r="K14" s="114">
        <v>1</v>
      </c>
      <c r="L14" s="115">
        <v>0.18</v>
      </c>
      <c r="M14" s="113">
        <f t="shared" si="6"/>
        <v>0.18</v>
      </c>
      <c r="N14" s="99">
        <f t="shared" si="3"/>
        <v>2.16</v>
      </c>
      <c r="O14" s="129" t="s">
        <v>258</v>
      </c>
      <c r="P14" s="113">
        <v>0.55000000000000004</v>
      </c>
      <c r="Q14" s="114">
        <v>0.55000000000000004</v>
      </c>
      <c r="R14" s="123">
        <f>Q14</f>
        <v>0.55000000000000004</v>
      </c>
    </row>
    <row r="15" spans="1:20" s="100" customFormat="1" ht="15.75" thickBot="1" x14ac:dyDescent="0.3">
      <c r="B15" s="120" t="s">
        <v>297</v>
      </c>
      <c r="C15" s="125">
        <v>0.84</v>
      </c>
      <c r="E15" s="102" t="s">
        <v>299</v>
      </c>
      <c r="F15" s="103">
        <v>1.5</v>
      </c>
      <c r="G15" s="103">
        <f t="shared" si="4"/>
        <v>4.92</v>
      </c>
      <c r="H15" s="117"/>
      <c r="I15" s="103"/>
      <c r="J15" s="103"/>
      <c r="K15" s="109"/>
      <c r="L15" s="110"/>
      <c r="M15" s="103"/>
      <c r="N15" s="107"/>
      <c r="O15" s="128"/>
      <c r="P15" s="103">
        <v>0.55000000000000004</v>
      </c>
      <c r="Q15" s="109">
        <v>0.55000000000000004</v>
      </c>
      <c r="R15" s="122"/>
    </row>
    <row r="16" spans="1:20" s="10" customFormat="1" x14ac:dyDescent="0.25">
      <c r="A16" s="174" t="s">
        <v>360</v>
      </c>
      <c r="B16" s="119" t="s">
        <v>296</v>
      </c>
      <c r="C16" s="124">
        <v>0.35</v>
      </c>
      <c r="D16" s="10" t="s">
        <v>259</v>
      </c>
      <c r="E16" s="112" t="s">
        <v>298</v>
      </c>
      <c r="F16" s="113">
        <v>1.7</v>
      </c>
      <c r="G16" s="113">
        <f t="shared" si="4"/>
        <v>5.5759999999999996</v>
      </c>
      <c r="H16" s="118">
        <f>G16*C16+G17*C17+G18*C18+G19*C19</f>
        <v>3.9219999999999997</v>
      </c>
      <c r="I16" s="113">
        <f>H16*12</f>
        <v>47.063999999999993</v>
      </c>
      <c r="J16" s="113" t="s">
        <v>257</v>
      </c>
      <c r="K16" s="114">
        <v>1</v>
      </c>
      <c r="L16" s="115">
        <v>0.18</v>
      </c>
      <c r="M16" s="113">
        <f t="shared" si="6"/>
        <v>0.18</v>
      </c>
      <c r="N16" s="99">
        <f t="shared" si="3"/>
        <v>2.16</v>
      </c>
      <c r="O16" s="129" t="s">
        <v>260</v>
      </c>
      <c r="P16" s="113">
        <v>0.55000000000000004</v>
      </c>
      <c r="Q16" s="114">
        <v>0.55000000000000004</v>
      </c>
      <c r="R16" s="123">
        <f>Q16*C16+Q17*C17+Q18*C18+Q19*C19</f>
        <v>0.48000000000000004</v>
      </c>
    </row>
    <row r="17" spans="1:18" s="10" customFormat="1" x14ac:dyDescent="0.25">
      <c r="B17" s="119" t="s">
        <v>171</v>
      </c>
      <c r="C17" s="124">
        <v>0.25</v>
      </c>
      <c r="D17" s="10" t="s">
        <v>241</v>
      </c>
      <c r="E17" s="113" t="s">
        <v>268</v>
      </c>
      <c r="F17" s="113">
        <v>1</v>
      </c>
      <c r="G17" s="113">
        <f>F17*3.28</f>
        <v>3.28</v>
      </c>
      <c r="H17" s="118"/>
      <c r="I17" s="113"/>
      <c r="J17" s="113"/>
      <c r="K17" s="114"/>
      <c r="L17" s="115"/>
      <c r="M17" s="113"/>
      <c r="N17" s="116"/>
      <c r="O17" s="129" t="s">
        <v>243</v>
      </c>
      <c r="P17" s="113">
        <v>0.55000000000000004</v>
      </c>
      <c r="Q17" s="114">
        <v>0.55000000000000004</v>
      </c>
      <c r="R17" s="123"/>
    </row>
    <row r="18" spans="1:18" s="10" customFormat="1" x14ac:dyDescent="0.25">
      <c r="B18" s="119" t="s">
        <v>315</v>
      </c>
      <c r="C18" s="124">
        <v>0.12</v>
      </c>
      <c r="E18" s="112" t="s">
        <v>299</v>
      </c>
      <c r="F18" s="113">
        <v>1.5</v>
      </c>
      <c r="G18" s="113">
        <f>F18*3.28</f>
        <v>4.92</v>
      </c>
      <c r="H18" s="118"/>
      <c r="I18" s="113"/>
      <c r="J18" s="113"/>
      <c r="K18" s="114"/>
      <c r="L18" s="115"/>
      <c r="M18" s="113"/>
      <c r="N18" s="116"/>
      <c r="O18" s="129"/>
      <c r="P18" s="113">
        <v>0.55000000000000004</v>
      </c>
      <c r="Q18" s="114">
        <v>0.55000000000000004</v>
      </c>
      <c r="R18" s="123"/>
    </row>
    <row r="19" spans="1:18" s="100" customFormat="1" ht="15.75" thickBot="1" x14ac:dyDescent="0.3">
      <c r="B19" s="120" t="s">
        <v>247</v>
      </c>
      <c r="C19" s="125">
        <v>0.28000000000000003</v>
      </c>
      <c r="D19" s="100" t="s">
        <v>248</v>
      </c>
      <c r="E19" s="102" t="s">
        <v>271</v>
      </c>
      <c r="F19" s="103"/>
      <c r="G19" s="103">
        <v>2</v>
      </c>
      <c r="H19" s="117"/>
      <c r="I19" s="103"/>
      <c r="J19" s="103"/>
      <c r="K19" s="109"/>
      <c r="L19" s="110"/>
      <c r="M19" s="103"/>
      <c r="N19" s="107"/>
      <c r="O19" s="128" t="s">
        <v>243</v>
      </c>
      <c r="P19" s="103">
        <v>0.3</v>
      </c>
      <c r="Q19" s="109">
        <v>0.3</v>
      </c>
      <c r="R19" s="122"/>
    </row>
    <row r="20" spans="1:18" s="10" customFormat="1" x14ac:dyDescent="0.25">
      <c r="A20" s="174" t="s">
        <v>360</v>
      </c>
      <c r="B20" s="118" t="s">
        <v>255</v>
      </c>
      <c r="C20" s="123">
        <v>1</v>
      </c>
      <c r="E20" s="112" t="s">
        <v>287</v>
      </c>
      <c r="F20" s="113">
        <v>1.5</v>
      </c>
      <c r="G20" s="113">
        <f t="shared" si="4"/>
        <v>4.92</v>
      </c>
      <c r="H20" s="118">
        <f t="shared" si="0"/>
        <v>4.92</v>
      </c>
      <c r="I20" s="113">
        <f>H20*12</f>
        <v>59.04</v>
      </c>
      <c r="J20" s="113" t="s">
        <v>249</v>
      </c>
      <c r="K20" s="114">
        <v>0.33</v>
      </c>
      <c r="L20" s="115">
        <v>0.06</v>
      </c>
      <c r="M20" s="113">
        <f>(L20*K20+L21*K21)</f>
        <v>0.13370000000000001</v>
      </c>
      <c r="N20" s="99">
        <f t="shared" si="3"/>
        <v>1.6044</v>
      </c>
      <c r="O20" s="129">
        <v>50</v>
      </c>
      <c r="P20" s="113">
        <v>0.6</v>
      </c>
      <c r="Q20" s="114">
        <v>0.6</v>
      </c>
      <c r="R20" s="123">
        <f>Q20</f>
        <v>0.6</v>
      </c>
    </row>
    <row r="21" spans="1:18" s="100" customFormat="1" ht="15.75" thickBot="1" x14ac:dyDescent="0.3">
      <c r="B21" s="117"/>
      <c r="C21" s="122"/>
      <c r="E21" s="102"/>
      <c r="F21" s="103"/>
      <c r="G21" s="103"/>
      <c r="H21" s="117"/>
      <c r="I21" s="103"/>
      <c r="J21" s="103" t="s">
        <v>261</v>
      </c>
      <c r="K21" s="109">
        <v>0.67</v>
      </c>
      <c r="L21" s="110">
        <v>0.17</v>
      </c>
      <c r="M21" s="103"/>
      <c r="N21" s="107"/>
      <c r="O21" s="128"/>
      <c r="P21" s="103"/>
      <c r="Q21" s="109"/>
      <c r="R21" s="122"/>
    </row>
    <row r="22" spans="1:18" s="10" customFormat="1" x14ac:dyDescent="0.25">
      <c r="A22" s="174" t="s">
        <v>360</v>
      </c>
      <c r="B22" s="118" t="s">
        <v>245</v>
      </c>
      <c r="C22" s="123">
        <v>1</v>
      </c>
      <c r="E22" s="112" t="s">
        <v>268</v>
      </c>
      <c r="F22" s="113">
        <v>1</v>
      </c>
      <c r="G22" s="113">
        <f t="shared" si="4"/>
        <v>3.28</v>
      </c>
      <c r="H22" s="118">
        <f t="shared" si="0"/>
        <v>3.28</v>
      </c>
      <c r="I22" s="113">
        <f>H22*12</f>
        <v>39.36</v>
      </c>
      <c r="J22" s="113" t="s">
        <v>249</v>
      </c>
      <c r="K22" s="114">
        <v>0.82099999999999995</v>
      </c>
      <c r="L22" s="115">
        <v>7.0000000000000007E-2</v>
      </c>
      <c r="M22" s="113">
        <f>(L22*K22+L23*K23)</f>
        <v>8.7900000000000006E-2</v>
      </c>
      <c r="N22" s="99">
        <f t="shared" si="3"/>
        <v>1.0548000000000002</v>
      </c>
      <c r="O22" s="129">
        <v>50</v>
      </c>
      <c r="P22" s="113">
        <v>0.5</v>
      </c>
      <c r="Q22" s="114">
        <v>0.5</v>
      </c>
      <c r="R22" s="123">
        <f>Q22</f>
        <v>0.5</v>
      </c>
    </row>
    <row r="23" spans="1:18" s="100" customFormat="1" ht="15.75" thickBot="1" x14ac:dyDescent="0.3">
      <c r="B23" s="117"/>
      <c r="C23" s="122"/>
      <c r="E23" s="102"/>
      <c r="F23" s="103"/>
      <c r="G23" s="103"/>
      <c r="H23" s="117"/>
      <c r="I23" s="103"/>
      <c r="J23" s="103" t="s">
        <v>261</v>
      </c>
      <c r="K23" s="109">
        <v>0.17899999999999999</v>
      </c>
      <c r="L23" s="110">
        <v>0.17</v>
      </c>
      <c r="M23" s="103"/>
      <c r="N23" s="107"/>
      <c r="O23" s="128"/>
      <c r="P23" s="103"/>
      <c r="Q23" s="109"/>
      <c r="R23" s="122"/>
    </row>
    <row r="24" spans="1:18" s="10" customFormat="1" x14ac:dyDescent="0.25">
      <c r="A24" s="174" t="s">
        <v>360</v>
      </c>
      <c r="B24" s="118" t="s">
        <v>171</v>
      </c>
      <c r="C24" s="123">
        <v>1</v>
      </c>
      <c r="D24" s="10" t="s">
        <v>241</v>
      </c>
      <c r="E24" s="112" t="s">
        <v>268</v>
      </c>
      <c r="F24" s="113">
        <v>2</v>
      </c>
      <c r="G24" s="113">
        <f t="shared" si="4"/>
        <v>6.56</v>
      </c>
      <c r="H24" s="118">
        <f t="shared" si="0"/>
        <v>6.56</v>
      </c>
      <c r="I24" s="113">
        <f>H24*12</f>
        <v>78.72</v>
      </c>
      <c r="J24" s="113" t="s">
        <v>257</v>
      </c>
      <c r="K24" s="114">
        <v>0.44500000000000001</v>
      </c>
      <c r="L24" s="115">
        <v>0.18</v>
      </c>
      <c r="M24" s="113">
        <f>(L24*K24+L25*K25)</f>
        <v>0.17445000000000002</v>
      </c>
      <c r="N24" s="99">
        <f t="shared" si="3"/>
        <v>2.0934000000000004</v>
      </c>
      <c r="O24" s="129" t="s">
        <v>243</v>
      </c>
      <c r="P24" s="113">
        <v>0.55000000000000004</v>
      </c>
      <c r="Q24" s="114">
        <v>0.55000000000000004</v>
      </c>
      <c r="R24" s="123">
        <f>Q24</f>
        <v>0.55000000000000004</v>
      </c>
    </row>
    <row r="25" spans="1:18" s="100" customFormat="1" ht="15.75" thickBot="1" x14ac:dyDescent="0.3">
      <c r="B25" s="117"/>
      <c r="C25" s="122"/>
      <c r="E25" s="102"/>
      <c r="F25" s="103"/>
      <c r="G25" s="103"/>
      <c r="H25" s="117"/>
      <c r="I25" s="103"/>
      <c r="J25" s="103" t="s">
        <v>261</v>
      </c>
      <c r="K25" s="109">
        <v>0.55500000000000005</v>
      </c>
      <c r="L25" s="110">
        <v>0.17</v>
      </c>
      <c r="M25" s="103"/>
      <c r="N25" s="107"/>
      <c r="O25" s="128"/>
      <c r="P25" s="103"/>
      <c r="Q25" s="109"/>
      <c r="R25" s="122"/>
    </row>
    <row r="26" spans="1:18" s="10" customFormat="1" x14ac:dyDescent="0.25">
      <c r="A26" s="174" t="s">
        <v>360</v>
      </c>
      <c r="B26" s="118" t="s">
        <v>171</v>
      </c>
      <c r="C26" s="123">
        <v>1</v>
      </c>
      <c r="D26" s="10" t="s">
        <v>241</v>
      </c>
      <c r="E26" s="112" t="s">
        <v>268</v>
      </c>
      <c r="F26" s="113">
        <v>2</v>
      </c>
      <c r="G26" s="113">
        <f t="shared" si="4"/>
        <v>6.56</v>
      </c>
      <c r="H26" s="118">
        <f t="shared" si="0"/>
        <v>6.56</v>
      </c>
      <c r="I26" s="113">
        <f>H26*12</f>
        <v>78.72</v>
      </c>
      <c r="J26" s="113" t="s">
        <v>262</v>
      </c>
      <c r="K26" s="114">
        <v>0.754</v>
      </c>
      <c r="L26" s="115">
        <v>0.16</v>
      </c>
      <c r="M26" s="113">
        <f>(L26*K26+L27*K27)</f>
        <v>0.16144</v>
      </c>
      <c r="N26" s="99">
        <f t="shared" si="3"/>
        <v>1.9372799999999999</v>
      </c>
      <c r="O26" s="129" t="s">
        <v>243</v>
      </c>
      <c r="P26" s="113">
        <v>0.55000000000000004</v>
      </c>
      <c r="Q26" s="114">
        <v>0.55000000000000004</v>
      </c>
      <c r="R26" s="123">
        <f>Q26</f>
        <v>0.55000000000000004</v>
      </c>
    </row>
    <row r="27" spans="1:18" s="100" customFormat="1" ht="15.75" thickBot="1" x14ac:dyDescent="0.3">
      <c r="B27" s="117"/>
      <c r="C27" s="122"/>
      <c r="E27" s="102"/>
      <c r="F27" s="103"/>
      <c r="G27" s="103"/>
      <c r="H27" s="117"/>
      <c r="I27" s="103"/>
      <c r="J27" s="103" t="s">
        <v>261</v>
      </c>
      <c r="K27" s="109">
        <v>0.24</v>
      </c>
      <c r="L27" s="110">
        <v>0.17</v>
      </c>
      <c r="M27" s="103"/>
      <c r="N27" s="107"/>
      <c r="O27" s="128"/>
      <c r="P27" s="103"/>
      <c r="Q27" s="109"/>
      <c r="R27" s="122"/>
    </row>
    <row r="28" spans="1:18" s="100" customFormat="1" ht="15.75" thickBot="1" x14ac:dyDescent="0.3">
      <c r="A28" s="172" t="s">
        <v>360</v>
      </c>
      <c r="B28" s="117" t="s">
        <v>255</v>
      </c>
      <c r="C28" s="122">
        <v>1</v>
      </c>
      <c r="E28" s="102" t="s">
        <v>287</v>
      </c>
      <c r="F28" s="103">
        <v>1.5</v>
      </c>
      <c r="G28" s="103">
        <f t="shared" si="4"/>
        <v>4.92</v>
      </c>
      <c r="H28" s="117">
        <f t="shared" si="0"/>
        <v>4.92</v>
      </c>
      <c r="I28" s="103">
        <f>H28*12</f>
        <v>59.04</v>
      </c>
      <c r="J28" s="103" t="s">
        <v>257</v>
      </c>
      <c r="K28" s="109">
        <v>1</v>
      </c>
      <c r="L28" s="110">
        <v>0.18</v>
      </c>
      <c r="M28" s="103">
        <f>L28*K28</f>
        <v>0.18</v>
      </c>
      <c r="N28" s="111">
        <f t="shared" si="3"/>
        <v>2.16</v>
      </c>
      <c r="O28" s="128">
        <v>50</v>
      </c>
      <c r="P28" s="103">
        <v>0.6</v>
      </c>
      <c r="Q28" s="109">
        <v>0.6</v>
      </c>
      <c r="R28" s="122">
        <f>Q28</f>
        <v>0.6</v>
      </c>
    </row>
    <row r="29" spans="1:18" s="100" customFormat="1" ht="15.75" thickBot="1" x14ac:dyDescent="0.3">
      <c r="A29" s="172" t="s">
        <v>360</v>
      </c>
      <c r="B29" s="117" t="s">
        <v>247</v>
      </c>
      <c r="C29" s="122">
        <v>1</v>
      </c>
      <c r="D29" s="100" t="s">
        <v>248</v>
      </c>
      <c r="E29" s="102" t="s">
        <v>271</v>
      </c>
      <c r="F29" s="103">
        <v>1.2</v>
      </c>
      <c r="G29" s="103">
        <v>2</v>
      </c>
      <c r="H29" s="117">
        <f t="shared" si="0"/>
        <v>2</v>
      </c>
      <c r="I29" s="103">
        <f>H29*12</f>
        <v>24</v>
      </c>
      <c r="J29" s="103" t="s">
        <v>257</v>
      </c>
      <c r="K29" s="109">
        <v>1</v>
      </c>
      <c r="L29" s="110">
        <v>0.18</v>
      </c>
      <c r="M29" s="103">
        <f>L29*K29</f>
        <v>0.18</v>
      </c>
      <c r="N29" s="111">
        <f t="shared" si="3"/>
        <v>2.16</v>
      </c>
      <c r="O29" s="128" t="s">
        <v>243</v>
      </c>
      <c r="P29" s="103">
        <v>0.3</v>
      </c>
      <c r="Q29" s="109">
        <v>0.3</v>
      </c>
      <c r="R29" s="122">
        <f>Q29</f>
        <v>0.3</v>
      </c>
    </row>
    <row r="30" spans="1:18" s="100" customFormat="1" ht="15.75" thickBot="1" x14ac:dyDescent="0.3">
      <c r="A30" s="172" t="s">
        <v>360</v>
      </c>
      <c r="B30" s="117" t="s">
        <v>255</v>
      </c>
      <c r="C30" s="122">
        <v>1</v>
      </c>
      <c r="E30" s="102" t="s">
        <v>287</v>
      </c>
      <c r="F30" s="103">
        <v>1.5</v>
      </c>
      <c r="G30" s="103">
        <f t="shared" si="4"/>
        <v>4.92</v>
      </c>
      <c r="H30" s="117">
        <f t="shared" si="0"/>
        <v>4.92</v>
      </c>
      <c r="I30" s="103">
        <f>H30*12</f>
        <v>59.04</v>
      </c>
      <c r="J30" s="103" t="s">
        <v>261</v>
      </c>
      <c r="K30" s="109">
        <v>1</v>
      </c>
      <c r="L30" s="110">
        <v>0.17</v>
      </c>
      <c r="M30" s="103">
        <f>L30*K30</f>
        <v>0.17</v>
      </c>
      <c r="N30" s="111">
        <f t="shared" si="3"/>
        <v>2.04</v>
      </c>
      <c r="O30" s="128" t="s">
        <v>243</v>
      </c>
      <c r="P30" s="103">
        <v>0.6</v>
      </c>
      <c r="Q30" s="109">
        <v>0.6</v>
      </c>
      <c r="R30" s="122">
        <f>Q30</f>
        <v>0.6</v>
      </c>
    </row>
    <row r="31" spans="1:18" s="10" customFormat="1" x14ac:dyDescent="0.25">
      <c r="A31" s="174" t="s">
        <v>360</v>
      </c>
      <c r="B31" s="118" t="s">
        <v>247</v>
      </c>
      <c r="C31" s="123">
        <v>1</v>
      </c>
      <c r="D31" s="10" t="s">
        <v>248</v>
      </c>
      <c r="E31" s="112" t="s">
        <v>271</v>
      </c>
      <c r="F31" s="113">
        <v>1.2</v>
      </c>
      <c r="G31" s="113">
        <v>2</v>
      </c>
      <c r="H31" s="118">
        <f t="shared" si="0"/>
        <v>2</v>
      </c>
      <c r="I31" s="113">
        <f>H31*12</f>
        <v>24</v>
      </c>
      <c r="J31" s="113" t="s">
        <v>263</v>
      </c>
      <c r="K31" s="114">
        <v>0.90800000000000003</v>
      </c>
      <c r="L31" s="115">
        <v>0.13</v>
      </c>
      <c r="M31" s="113">
        <f>(L31*K31+L32*K32)</f>
        <v>0.13154000000000002</v>
      </c>
      <c r="N31" s="99">
        <f t="shared" si="3"/>
        <v>1.5784800000000003</v>
      </c>
      <c r="O31" s="129" t="s">
        <v>243</v>
      </c>
      <c r="P31" s="113">
        <v>0.3</v>
      </c>
      <c r="Q31" s="114">
        <v>0.3</v>
      </c>
      <c r="R31" s="123">
        <f>Q31</f>
        <v>0.3</v>
      </c>
    </row>
    <row r="32" spans="1:18" s="100" customFormat="1" ht="15.75" thickBot="1" x14ac:dyDescent="0.3">
      <c r="B32" s="117"/>
      <c r="C32" s="122"/>
      <c r="E32" s="102"/>
      <c r="F32" s="103"/>
      <c r="G32" s="103"/>
      <c r="H32" s="117"/>
      <c r="I32" s="103"/>
      <c r="J32" s="103" t="s">
        <v>264</v>
      </c>
      <c r="K32" s="109">
        <v>0.09</v>
      </c>
      <c r="L32" s="110">
        <v>0.15</v>
      </c>
      <c r="M32" s="103"/>
      <c r="N32" s="107"/>
      <c r="O32" s="128"/>
      <c r="P32" s="103"/>
      <c r="Q32" s="109"/>
      <c r="R32" s="122"/>
    </row>
    <row r="33" spans="1:24" s="100" customFormat="1" ht="15.75" thickBot="1" x14ac:dyDescent="0.3">
      <c r="A33" s="172" t="s">
        <v>360</v>
      </c>
      <c r="B33" s="117" t="s">
        <v>171</v>
      </c>
      <c r="C33" s="122">
        <v>1</v>
      </c>
      <c r="D33" s="100" t="s">
        <v>241</v>
      </c>
      <c r="E33" s="102" t="s">
        <v>268</v>
      </c>
      <c r="F33" s="103">
        <v>2</v>
      </c>
      <c r="G33" s="103">
        <f t="shared" si="4"/>
        <v>6.56</v>
      </c>
      <c r="H33" s="117">
        <f t="shared" si="0"/>
        <v>6.56</v>
      </c>
      <c r="I33" s="103">
        <f>H33*12</f>
        <v>78.72</v>
      </c>
      <c r="J33" s="103" t="s">
        <v>251</v>
      </c>
      <c r="K33" s="109">
        <v>1</v>
      </c>
      <c r="L33" s="110">
        <v>0.18</v>
      </c>
      <c r="M33" s="103">
        <f>L33*K33</f>
        <v>0.18</v>
      </c>
      <c r="N33" s="111">
        <f t="shared" si="3"/>
        <v>2.16</v>
      </c>
      <c r="O33" s="128" t="s">
        <v>243</v>
      </c>
      <c r="P33" s="103">
        <v>0.55000000000000004</v>
      </c>
      <c r="Q33" s="109">
        <v>0.55000000000000004</v>
      </c>
      <c r="R33" s="122">
        <f>Q33</f>
        <v>0.55000000000000004</v>
      </c>
    </row>
    <row r="34" spans="1:24" s="10" customFormat="1" x14ac:dyDescent="0.25">
      <c r="A34" s="174" t="s">
        <v>360</v>
      </c>
      <c r="B34" s="118" t="s">
        <v>255</v>
      </c>
      <c r="C34" s="123">
        <v>0.81</v>
      </c>
      <c r="E34" s="112" t="s">
        <v>287</v>
      </c>
      <c r="F34" s="113">
        <v>1.5</v>
      </c>
      <c r="G34" s="113">
        <f t="shared" si="4"/>
        <v>4.92</v>
      </c>
      <c r="H34" s="118">
        <f>G34*C34+G35*C35</f>
        <v>4.6084000000000005</v>
      </c>
      <c r="I34" s="113">
        <f>H34*12</f>
        <v>55.30080000000001</v>
      </c>
      <c r="J34" s="113" t="s">
        <v>265</v>
      </c>
      <c r="K34" s="114">
        <v>1</v>
      </c>
      <c r="L34" s="115">
        <v>0.17</v>
      </c>
      <c r="M34" s="113">
        <f>L34*K34</f>
        <v>0.17</v>
      </c>
      <c r="N34" s="99">
        <f t="shared" si="3"/>
        <v>2.04</v>
      </c>
      <c r="O34" s="129" t="s">
        <v>243</v>
      </c>
      <c r="P34" s="113">
        <v>0.6</v>
      </c>
      <c r="Q34" s="114">
        <v>0.6</v>
      </c>
      <c r="R34" s="123">
        <f>Q34*C34+Q35*C35</f>
        <v>0.56200000000000006</v>
      </c>
    </row>
    <row r="35" spans="1:24" s="100" customFormat="1" ht="15.75" thickBot="1" x14ac:dyDescent="0.3">
      <c r="B35" s="120" t="s">
        <v>302</v>
      </c>
      <c r="C35" s="122">
        <v>0.19</v>
      </c>
      <c r="E35" s="102" t="s">
        <v>306</v>
      </c>
      <c r="F35" s="103">
        <v>1</v>
      </c>
      <c r="G35" s="103">
        <f t="shared" si="4"/>
        <v>3.28</v>
      </c>
      <c r="H35" s="117"/>
      <c r="I35" s="103"/>
      <c r="J35" s="103"/>
      <c r="K35" s="103"/>
      <c r="M35" s="103"/>
      <c r="N35" s="101"/>
      <c r="O35" s="103"/>
      <c r="P35" s="103">
        <v>0.4</v>
      </c>
      <c r="Q35" s="109">
        <v>0.4</v>
      </c>
      <c r="R35" s="117"/>
    </row>
    <row r="36" spans="1:24" x14ac:dyDescent="0.25">
      <c r="E36" s="77"/>
    </row>
    <row r="37" spans="1:24" x14ac:dyDescent="0.25">
      <c r="E37" s="77"/>
    </row>
    <row r="38" spans="1:24" x14ac:dyDescent="0.25">
      <c r="E38" s="77"/>
      <c r="J38" t="s">
        <v>307</v>
      </c>
    </row>
    <row r="39" spans="1:24" ht="15.75" thickBot="1" x14ac:dyDescent="0.3">
      <c r="A39" t="s">
        <v>255</v>
      </c>
      <c r="D39" t="s">
        <v>303</v>
      </c>
      <c r="E39" s="77"/>
      <c r="G39" t="s">
        <v>296</v>
      </c>
      <c r="J39" t="s">
        <v>322</v>
      </c>
      <c r="O39" t="s">
        <v>313</v>
      </c>
      <c r="R39" t="s">
        <v>297</v>
      </c>
      <c r="T39" s="24"/>
      <c r="V39" t="s">
        <v>171</v>
      </c>
      <c r="X39" s="24"/>
    </row>
    <row r="40" spans="1:24" x14ac:dyDescent="0.25">
      <c r="A40" s="15" t="s">
        <v>286</v>
      </c>
      <c r="B40" s="9" t="s">
        <v>285</v>
      </c>
      <c r="C40" s="126"/>
      <c r="D40" s="15" t="s">
        <v>286</v>
      </c>
      <c r="E40" s="9" t="s">
        <v>304</v>
      </c>
      <c r="G40" s="15" t="s">
        <v>309</v>
      </c>
      <c r="H40" s="9">
        <v>0</v>
      </c>
      <c r="J40" s="15" t="s">
        <v>286</v>
      </c>
      <c r="K40" s="135" t="s">
        <v>304</v>
      </c>
      <c r="L40" s="9" t="s">
        <v>334</v>
      </c>
      <c r="O40" s="15" t="s">
        <v>286</v>
      </c>
      <c r="P40" s="9" t="s">
        <v>304</v>
      </c>
      <c r="R40" s="15" t="s">
        <v>286</v>
      </c>
      <c r="S40" s="9" t="s">
        <v>304</v>
      </c>
      <c r="T40" s="24"/>
      <c r="V40" t="s">
        <v>314</v>
      </c>
      <c r="X40" s="24"/>
    </row>
    <row r="41" spans="1:24" x14ac:dyDescent="0.25">
      <c r="A41" s="130"/>
      <c r="B41" s="134"/>
      <c r="D41" s="130"/>
      <c r="E41" s="131"/>
      <c r="G41" s="130" t="s">
        <v>310</v>
      </c>
      <c r="H41" s="134">
        <v>1.1499999999999999</v>
      </c>
      <c r="J41" s="130">
        <v>0</v>
      </c>
      <c r="K41" s="10">
        <v>0.25</v>
      </c>
      <c r="L41" s="134">
        <f t="shared" ref="L41:L58" si="7">(K41-$K$61)/($K$60-$K$61)</f>
        <v>0</v>
      </c>
      <c r="O41" s="130">
        <v>0</v>
      </c>
      <c r="P41" s="134">
        <v>0.4</v>
      </c>
      <c r="R41" s="130">
        <v>0</v>
      </c>
      <c r="S41" s="134">
        <v>0.2</v>
      </c>
      <c r="T41" s="24"/>
      <c r="X41" s="24"/>
    </row>
    <row r="42" spans="1:24" ht="15.75" thickBot="1" x14ac:dyDescent="0.3">
      <c r="A42" s="97">
        <v>0</v>
      </c>
      <c r="B42" s="96">
        <v>0.25</v>
      </c>
      <c r="C42" s="126"/>
      <c r="D42" s="130">
        <v>0</v>
      </c>
      <c r="E42" s="131">
        <v>0.45</v>
      </c>
      <c r="G42" s="132" t="s">
        <v>311</v>
      </c>
      <c r="H42" s="140">
        <v>1.05</v>
      </c>
      <c r="J42" s="130">
        <v>10</v>
      </c>
      <c r="K42" s="10">
        <v>0.25</v>
      </c>
      <c r="L42" s="134">
        <f t="shared" si="7"/>
        <v>0</v>
      </c>
      <c r="O42" s="130">
        <v>10</v>
      </c>
      <c r="P42" s="134">
        <v>0.45</v>
      </c>
      <c r="R42" s="130">
        <v>10</v>
      </c>
      <c r="S42" s="134">
        <v>0.2</v>
      </c>
      <c r="T42" s="24"/>
      <c r="X42" s="24"/>
    </row>
    <row r="43" spans="1:24" x14ac:dyDescent="0.25">
      <c r="A43" s="97">
        <v>10</v>
      </c>
      <c r="B43" s="96">
        <v>0.3</v>
      </c>
      <c r="C43" s="126"/>
      <c r="D43" s="130">
        <v>10</v>
      </c>
      <c r="E43" s="131">
        <v>0.45</v>
      </c>
      <c r="G43" s="141" t="s">
        <v>312</v>
      </c>
      <c r="J43" s="130">
        <v>20</v>
      </c>
      <c r="K43" s="10">
        <v>0.25</v>
      </c>
      <c r="L43" s="134">
        <f t="shared" si="7"/>
        <v>0</v>
      </c>
      <c r="O43" s="130">
        <v>20</v>
      </c>
      <c r="P43" s="134">
        <v>0.52</v>
      </c>
      <c r="R43" s="130">
        <v>20</v>
      </c>
      <c r="S43" s="134">
        <v>0.27</v>
      </c>
      <c r="T43" s="24"/>
      <c r="X43" s="24"/>
    </row>
    <row r="44" spans="1:24" x14ac:dyDescent="0.25">
      <c r="A44" s="97">
        <v>20</v>
      </c>
      <c r="B44" s="96">
        <v>0.36</v>
      </c>
      <c r="C44" s="126"/>
      <c r="D44" s="130">
        <v>20</v>
      </c>
      <c r="E44" s="131">
        <v>0.45</v>
      </c>
      <c r="J44" s="130">
        <v>30</v>
      </c>
      <c r="K44" s="10">
        <v>0.28000000000000003</v>
      </c>
      <c r="L44" s="134">
        <f t="shared" si="7"/>
        <v>5.2631578947368474E-2</v>
      </c>
      <c r="O44" s="130">
        <v>30</v>
      </c>
      <c r="P44" s="134">
        <v>0.57999999999999996</v>
      </c>
      <c r="R44" s="130">
        <v>30</v>
      </c>
      <c r="S44" s="134">
        <v>0.41</v>
      </c>
      <c r="T44" s="24"/>
      <c r="X44" s="24"/>
    </row>
    <row r="45" spans="1:24" x14ac:dyDescent="0.25">
      <c r="A45" s="97">
        <v>30</v>
      </c>
      <c r="B45" s="96">
        <v>0.43</v>
      </c>
      <c r="C45" s="126"/>
      <c r="D45" s="130">
        <v>30</v>
      </c>
      <c r="E45" s="131">
        <v>0.45</v>
      </c>
      <c r="J45" s="130">
        <v>40</v>
      </c>
      <c r="K45" s="10">
        <v>0.33</v>
      </c>
      <c r="L45" s="134">
        <f t="shared" si="7"/>
        <v>0.1403508771929825</v>
      </c>
      <c r="O45" s="130">
        <v>40</v>
      </c>
      <c r="P45" s="134">
        <v>0.66</v>
      </c>
      <c r="R45" s="130">
        <v>40</v>
      </c>
      <c r="S45" s="134">
        <v>0.54</v>
      </c>
      <c r="T45" s="24"/>
      <c r="X45" s="24"/>
    </row>
    <row r="46" spans="1:24" x14ac:dyDescent="0.25">
      <c r="A46" s="97">
        <v>40</v>
      </c>
      <c r="B46" s="96">
        <v>0.5</v>
      </c>
      <c r="C46" s="126"/>
      <c r="D46" s="130">
        <v>40</v>
      </c>
      <c r="E46" s="131">
        <v>0.45</v>
      </c>
      <c r="J46" s="130">
        <v>50</v>
      </c>
      <c r="K46" s="10">
        <v>0.39</v>
      </c>
      <c r="L46" s="134">
        <f t="shared" si="7"/>
        <v>0.24561403508771934</v>
      </c>
      <c r="O46" s="130">
        <v>50</v>
      </c>
      <c r="P46" s="134">
        <v>0.76</v>
      </c>
      <c r="R46" s="130">
        <v>50</v>
      </c>
      <c r="S46" s="134">
        <v>0.65</v>
      </c>
      <c r="T46" s="24"/>
      <c r="X46" s="24"/>
    </row>
    <row r="47" spans="1:24" x14ac:dyDescent="0.25">
      <c r="A47" s="97">
        <v>50</v>
      </c>
      <c r="B47" s="96">
        <v>0.6</v>
      </c>
      <c r="C47" s="126"/>
      <c r="D47" s="130">
        <v>50</v>
      </c>
      <c r="E47" s="131">
        <v>0.48</v>
      </c>
      <c r="J47" s="130">
        <v>60</v>
      </c>
      <c r="K47" s="10">
        <v>0.46</v>
      </c>
      <c r="L47" s="134">
        <f t="shared" si="7"/>
        <v>0.36842105263157904</v>
      </c>
      <c r="O47" s="130">
        <v>60</v>
      </c>
      <c r="P47" s="134">
        <v>0.85</v>
      </c>
      <c r="R47" s="130">
        <v>60</v>
      </c>
      <c r="S47" s="134">
        <v>0.73</v>
      </c>
      <c r="T47" s="24"/>
      <c r="X47" s="24"/>
    </row>
    <row r="48" spans="1:24" x14ac:dyDescent="0.25">
      <c r="A48" s="97">
        <v>60</v>
      </c>
      <c r="B48" s="96">
        <v>0.63</v>
      </c>
      <c r="C48" s="126"/>
      <c r="D48" s="130">
        <v>60</v>
      </c>
      <c r="E48" s="131">
        <v>0.5</v>
      </c>
      <c r="J48" s="130">
        <v>70</v>
      </c>
      <c r="K48" s="10">
        <v>0.54</v>
      </c>
      <c r="L48" s="134">
        <f t="shared" si="7"/>
        <v>0.50877192982456154</v>
      </c>
      <c r="O48" s="130">
        <v>70</v>
      </c>
      <c r="P48" s="134">
        <v>0.94</v>
      </c>
      <c r="R48" s="130">
        <v>70</v>
      </c>
      <c r="S48" s="134">
        <v>0.92</v>
      </c>
      <c r="T48" s="24"/>
      <c r="X48" s="24"/>
    </row>
    <row r="49" spans="1:24" x14ac:dyDescent="0.25">
      <c r="A49" s="97">
        <v>70</v>
      </c>
      <c r="B49" s="96">
        <v>0.66</v>
      </c>
      <c r="C49" s="126"/>
      <c r="D49" s="130">
        <v>70</v>
      </c>
      <c r="E49" s="131">
        <v>0.53</v>
      </c>
      <c r="J49" s="130">
        <v>80</v>
      </c>
      <c r="K49" s="10">
        <v>0.63</v>
      </c>
      <c r="L49" s="134">
        <f t="shared" si="7"/>
        <v>0.66666666666666674</v>
      </c>
      <c r="O49" s="130">
        <v>80</v>
      </c>
      <c r="P49" s="134">
        <v>1</v>
      </c>
      <c r="R49" s="130">
        <v>80</v>
      </c>
      <c r="S49" s="134">
        <v>1.02</v>
      </c>
      <c r="T49" s="24"/>
      <c r="X49" s="24"/>
    </row>
    <row r="50" spans="1:24" x14ac:dyDescent="0.25">
      <c r="A50" s="97">
        <v>80</v>
      </c>
      <c r="B50" s="96">
        <v>0.68</v>
      </c>
      <c r="C50" s="126"/>
      <c r="D50" s="130">
        <v>80</v>
      </c>
      <c r="E50" s="131">
        <v>0.55000000000000004</v>
      </c>
      <c r="J50" s="130">
        <v>90</v>
      </c>
      <c r="K50" s="10">
        <v>0.72</v>
      </c>
      <c r="L50" s="134">
        <f t="shared" si="7"/>
        <v>0.82456140350877194</v>
      </c>
      <c r="O50" s="130">
        <v>90</v>
      </c>
      <c r="P50" s="134">
        <v>1.04</v>
      </c>
      <c r="R50" s="130">
        <v>90</v>
      </c>
      <c r="S50" s="134">
        <v>1.03</v>
      </c>
      <c r="T50" s="24"/>
      <c r="X50" s="24"/>
    </row>
    <row r="51" spans="1:24" x14ac:dyDescent="0.25">
      <c r="A51" s="97">
        <v>90</v>
      </c>
      <c r="B51" s="96">
        <v>0.68</v>
      </c>
      <c r="C51" s="126"/>
      <c r="D51" s="130">
        <v>90</v>
      </c>
      <c r="E51" s="131">
        <v>0.57999999999999996</v>
      </c>
      <c r="J51" s="130">
        <v>100</v>
      </c>
      <c r="K51" s="10">
        <v>0.82</v>
      </c>
      <c r="L51" s="134">
        <f t="shared" si="7"/>
        <v>1</v>
      </c>
      <c r="O51" s="130">
        <v>100</v>
      </c>
      <c r="P51" s="134">
        <v>1.04</v>
      </c>
      <c r="R51" s="130">
        <v>100</v>
      </c>
      <c r="S51" s="134">
        <v>1.03</v>
      </c>
      <c r="T51" s="24"/>
      <c r="X51" s="24"/>
    </row>
    <row r="52" spans="1:24" x14ac:dyDescent="0.25">
      <c r="A52" s="97">
        <v>100</v>
      </c>
      <c r="B52" s="96">
        <v>0.68</v>
      </c>
      <c r="C52" s="126"/>
      <c r="D52" s="130">
        <v>100</v>
      </c>
      <c r="E52" s="131">
        <v>0.6</v>
      </c>
      <c r="J52" s="130">
        <v>110</v>
      </c>
      <c r="K52" s="10">
        <v>0.84</v>
      </c>
      <c r="L52" s="134">
        <f t="shared" si="7"/>
        <v>1.0350877192982457</v>
      </c>
      <c r="O52" s="130">
        <v>110</v>
      </c>
      <c r="P52" s="134">
        <v>1.04</v>
      </c>
      <c r="R52" s="130">
        <v>110</v>
      </c>
      <c r="S52" s="134">
        <v>1.03</v>
      </c>
      <c r="T52" s="24"/>
      <c r="X52" s="24"/>
    </row>
    <row r="53" spans="1:24" x14ac:dyDescent="0.25">
      <c r="A53" s="97">
        <v>110</v>
      </c>
      <c r="B53" s="96">
        <v>0.68</v>
      </c>
      <c r="C53" s="126"/>
      <c r="D53" s="130">
        <v>110</v>
      </c>
      <c r="E53" s="131">
        <v>0.6</v>
      </c>
      <c r="J53" s="130">
        <v>120</v>
      </c>
      <c r="K53" s="10">
        <v>0.74</v>
      </c>
      <c r="L53" s="134">
        <f t="shared" si="7"/>
        <v>0.85964912280701755</v>
      </c>
      <c r="O53" s="130">
        <v>120</v>
      </c>
      <c r="P53" s="134">
        <v>1.04</v>
      </c>
      <c r="R53" s="130">
        <v>120</v>
      </c>
      <c r="S53" s="134">
        <v>1.03</v>
      </c>
      <c r="T53" s="24"/>
      <c r="X53" s="24"/>
    </row>
    <row r="54" spans="1:24" x14ac:dyDescent="0.25">
      <c r="A54" s="97">
        <v>120</v>
      </c>
      <c r="B54" s="96">
        <v>0.68</v>
      </c>
      <c r="C54" s="126"/>
      <c r="D54" s="130">
        <v>120</v>
      </c>
      <c r="E54" s="131">
        <v>0.6</v>
      </c>
      <c r="J54" s="130">
        <v>130</v>
      </c>
      <c r="K54" s="10">
        <v>0.56999999999999995</v>
      </c>
      <c r="L54" s="134">
        <f t="shared" si="7"/>
        <v>0.56140350877192979</v>
      </c>
      <c r="O54" s="130">
        <v>130</v>
      </c>
      <c r="P54" s="134">
        <v>1.04</v>
      </c>
      <c r="R54" s="130">
        <v>130</v>
      </c>
      <c r="S54" s="134">
        <v>1.03</v>
      </c>
      <c r="T54" s="24"/>
      <c r="X54" s="24"/>
    </row>
    <row r="55" spans="1:24" x14ac:dyDescent="0.25">
      <c r="A55" s="97">
        <v>130</v>
      </c>
      <c r="B55" s="96">
        <v>0.68</v>
      </c>
      <c r="C55" s="126"/>
      <c r="D55" s="130">
        <v>130</v>
      </c>
      <c r="E55" s="131">
        <v>0.6</v>
      </c>
      <c r="J55" s="130">
        <v>140</v>
      </c>
      <c r="K55" s="10">
        <v>0.39</v>
      </c>
      <c r="L55" s="134">
        <f t="shared" si="7"/>
        <v>0.24561403508771934</v>
      </c>
      <c r="O55" s="130">
        <v>140</v>
      </c>
      <c r="P55" s="134">
        <v>1.04</v>
      </c>
      <c r="R55" s="130">
        <v>140</v>
      </c>
      <c r="S55" s="134">
        <v>1.03</v>
      </c>
      <c r="T55" s="24"/>
      <c r="X55" s="24"/>
    </row>
    <row r="56" spans="1:24" x14ac:dyDescent="0.25">
      <c r="A56" s="97">
        <v>140</v>
      </c>
      <c r="B56" s="96">
        <v>0.68</v>
      </c>
      <c r="C56" s="126"/>
      <c r="D56" s="130">
        <v>140</v>
      </c>
      <c r="E56" s="131">
        <v>0.6</v>
      </c>
      <c r="J56" s="130">
        <v>150</v>
      </c>
      <c r="K56" s="10">
        <v>0.24</v>
      </c>
      <c r="L56" s="134">
        <f t="shared" si="7"/>
        <v>-1.7543859649122823E-2</v>
      </c>
      <c r="O56" s="130">
        <v>150</v>
      </c>
      <c r="P56" s="134">
        <v>1.04</v>
      </c>
      <c r="R56" s="130">
        <v>150</v>
      </c>
      <c r="S56" s="134">
        <v>1.01</v>
      </c>
      <c r="T56" s="24"/>
      <c r="X56" s="24"/>
    </row>
    <row r="57" spans="1:24" x14ac:dyDescent="0.25">
      <c r="A57" s="97">
        <v>150</v>
      </c>
      <c r="B57" s="96">
        <v>0.68</v>
      </c>
      <c r="C57" s="126"/>
      <c r="D57" s="130">
        <v>150</v>
      </c>
      <c r="E57" s="131">
        <v>0.6</v>
      </c>
      <c r="J57" s="130">
        <v>160</v>
      </c>
      <c r="K57" s="10">
        <v>0.2</v>
      </c>
      <c r="L57" s="134">
        <f t="shared" si="7"/>
        <v>-8.7719298245614016E-2</v>
      </c>
      <c r="O57" s="130">
        <v>160</v>
      </c>
      <c r="P57" s="134">
        <v>0.98</v>
      </c>
      <c r="R57" s="130">
        <v>160</v>
      </c>
      <c r="S57" s="134">
        <v>0.97</v>
      </c>
      <c r="T57" s="24"/>
      <c r="X57" s="24"/>
    </row>
    <row r="58" spans="1:24" ht="15.75" thickBot="1" x14ac:dyDescent="0.3">
      <c r="A58" s="97">
        <v>160</v>
      </c>
      <c r="B58" s="96">
        <v>0.68</v>
      </c>
      <c r="C58" s="126"/>
      <c r="D58" s="130">
        <v>160</v>
      </c>
      <c r="E58" s="131">
        <v>0.6</v>
      </c>
      <c r="J58" s="149">
        <v>170</v>
      </c>
      <c r="K58" s="150">
        <v>0.2</v>
      </c>
      <c r="L58" s="151">
        <f t="shared" si="7"/>
        <v>-8.7719298245614016E-2</v>
      </c>
      <c r="O58" s="130">
        <v>170</v>
      </c>
      <c r="P58" s="134">
        <v>0.91</v>
      </c>
      <c r="R58" s="130">
        <v>170</v>
      </c>
      <c r="S58" s="134">
        <v>0.89</v>
      </c>
      <c r="T58" s="24"/>
      <c r="X58" s="24"/>
    </row>
    <row r="59" spans="1:24" ht="15.75" thickBot="1" x14ac:dyDescent="0.3">
      <c r="A59" s="97">
        <v>170</v>
      </c>
      <c r="B59" s="96">
        <v>0.68</v>
      </c>
      <c r="C59" s="126"/>
      <c r="D59" s="130">
        <v>170</v>
      </c>
      <c r="E59" s="131">
        <v>0.6</v>
      </c>
      <c r="O59" s="130">
        <v>180</v>
      </c>
      <c r="P59" s="134">
        <v>0.84</v>
      </c>
      <c r="R59" s="130">
        <v>180</v>
      </c>
      <c r="S59" s="134">
        <v>0.7</v>
      </c>
      <c r="T59" s="24"/>
      <c r="X59" s="24"/>
    </row>
    <row r="60" spans="1:24" x14ac:dyDescent="0.25">
      <c r="A60" s="97">
        <v>180</v>
      </c>
      <c r="B60" s="96">
        <v>0.65</v>
      </c>
      <c r="C60" s="126"/>
      <c r="D60" s="130">
        <v>180</v>
      </c>
      <c r="E60" s="131">
        <v>0.6</v>
      </c>
      <c r="J60" s="15" t="s">
        <v>310</v>
      </c>
      <c r="K60" s="9">
        <f>K51</f>
        <v>0.82</v>
      </c>
      <c r="O60" s="130">
        <v>190</v>
      </c>
      <c r="P60" s="134">
        <v>0.75</v>
      </c>
      <c r="R60" s="130">
        <v>190</v>
      </c>
      <c r="S60" s="134">
        <v>0.51</v>
      </c>
      <c r="T60" s="24"/>
      <c r="X60" s="24"/>
    </row>
    <row r="61" spans="1:24" ht="15.75" thickBot="1" x14ac:dyDescent="0.3">
      <c r="A61" s="97">
        <v>190</v>
      </c>
      <c r="B61" s="96">
        <v>0.6</v>
      </c>
      <c r="C61" s="126"/>
      <c r="D61" s="130">
        <v>190</v>
      </c>
      <c r="E61" s="131">
        <v>0.6</v>
      </c>
      <c r="J61" s="132" t="s">
        <v>332</v>
      </c>
      <c r="K61" s="140">
        <v>0.25</v>
      </c>
      <c r="O61" s="130">
        <v>200</v>
      </c>
      <c r="P61" s="134">
        <v>0.68</v>
      </c>
      <c r="R61" s="130">
        <v>200</v>
      </c>
      <c r="S61" s="134">
        <v>0.4</v>
      </c>
      <c r="T61" s="24"/>
      <c r="X61" s="24"/>
    </row>
    <row r="62" spans="1:24" ht="15.75" thickBot="1" x14ac:dyDescent="0.3">
      <c r="A62" s="97">
        <v>200</v>
      </c>
      <c r="B62" s="96">
        <v>0.4</v>
      </c>
      <c r="C62" s="126"/>
      <c r="D62" s="130">
        <v>200</v>
      </c>
      <c r="E62" s="131">
        <v>0.6</v>
      </c>
      <c r="O62" s="132">
        <v>210</v>
      </c>
      <c r="P62" s="140">
        <v>0.68</v>
      </c>
      <c r="R62" s="130">
        <v>210</v>
      </c>
      <c r="S62" s="134">
        <v>0.31</v>
      </c>
      <c r="T62" s="24"/>
      <c r="X62" s="24"/>
    </row>
    <row r="63" spans="1:24" ht="15.75" thickBot="1" x14ac:dyDescent="0.3">
      <c r="A63" s="152">
        <v>210</v>
      </c>
      <c r="B63" s="153">
        <v>0</v>
      </c>
      <c r="C63" s="127"/>
      <c r="D63" s="130">
        <v>210</v>
      </c>
      <c r="E63" s="131">
        <v>0.6</v>
      </c>
      <c r="L63" t="s">
        <v>333</v>
      </c>
      <c r="R63" s="130">
        <v>220</v>
      </c>
      <c r="S63" s="134">
        <v>0.21</v>
      </c>
      <c r="T63" s="24"/>
      <c r="X63" s="24"/>
    </row>
    <row r="64" spans="1:24" ht="15.75" thickBot="1" x14ac:dyDescent="0.3">
      <c r="A64" t="s">
        <v>305</v>
      </c>
      <c r="D64" s="130">
        <v>220</v>
      </c>
      <c r="E64" s="131">
        <v>0.6</v>
      </c>
      <c r="R64" s="132">
        <v>230</v>
      </c>
      <c r="S64" s="140">
        <v>0.1</v>
      </c>
      <c r="T64" s="24"/>
    </row>
    <row r="65" spans="4:13" x14ac:dyDescent="0.25">
      <c r="D65" s="130">
        <v>230</v>
      </c>
      <c r="E65" s="131">
        <v>0.55000000000000004</v>
      </c>
    </row>
    <row r="66" spans="4:13" x14ac:dyDescent="0.25">
      <c r="D66" s="130">
        <v>240</v>
      </c>
      <c r="E66" s="131">
        <v>0.46</v>
      </c>
    </row>
    <row r="67" spans="4:13" x14ac:dyDescent="0.25">
      <c r="D67" s="130">
        <v>250</v>
      </c>
      <c r="E67" s="131">
        <v>0.45</v>
      </c>
    </row>
    <row r="68" spans="4:13" x14ac:dyDescent="0.25">
      <c r="D68" s="130">
        <v>260</v>
      </c>
      <c r="E68" s="131">
        <v>0.45</v>
      </c>
    </row>
    <row r="69" spans="4:13" x14ac:dyDescent="0.25">
      <c r="D69" s="130">
        <v>270</v>
      </c>
      <c r="E69" s="131">
        <v>0.45</v>
      </c>
    </row>
    <row r="70" spans="4:13" ht="15.75" thickBot="1" x14ac:dyDescent="0.3">
      <c r="D70" s="132">
        <v>280</v>
      </c>
      <c r="E70" s="133">
        <v>0.45</v>
      </c>
    </row>
    <row r="71" spans="4:13" x14ac:dyDescent="0.25">
      <c r="D71" t="s">
        <v>305</v>
      </c>
    </row>
    <row r="72" spans="4:13" ht="15.75" thickBot="1" x14ac:dyDescent="0.3"/>
    <row r="73" spans="4:13" x14ac:dyDescent="0.25">
      <c r="G73" s="15" t="s">
        <v>321</v>
      </c>
      <c r="H73" s="135" t="s">
        <v>309</v>
      </c>
      <c r="I73" s="135" t="s">
        <v>310</v>
      </c>
      <c r="J73" s="9" t="s">
        <v>311</v>
      </c>
      <c r="M73" t="s">
        <v>348</v>
      </c>
    </row>
    <row r="74" spans="4:13" x14ac:dyDescent="0.25">
      <c r="G74" s="130" t="s">
        <v>317</v>
      </c>
      <c r="H74" s="10">
        <v>0.7</v>
      </c>
      <c r="I74" s="10">
        <v>1.05</v>
      </c>
      <c r="J74" s="134">
        <v>0.85</v>
      </c>
      <c r="M74">
        <v>1.1499999999999999</v>
      </c>
    </row>
    <row r="75" spans="4:13" x14ac:dyDescent="0.25">
      <c r="G75" s="130" t="s">
        <v>318</v>
      </c>
      <c r="H75" s="10">
        <v>0.7</v>
      </c>
      <c r="I75" s="10">
        <v>1.05</v>
      </c>
      <c r="J75" s="134">
        <v>0.5</v>
      </c>
      <c r="M75">
        <v>0.95</v>
      </c>
    </row>
    <row r="76" spans="4:13" x14ac:dyDescent="0.25">
      <c r="G76" s="130" t="s">
        <v>319</v>
      </c>
      <c r="H76" s="10">
        <v>0.4</v>
      </c>
      <c r="I76" s="10">
        <v>1</v>
      </c>
      <c r="J76" s="134">
        <v>0.75</v>
      </c>
      <c r="M76">
        <v>1.1000000000000001</v>
      </c>
    </row>
    <row r="77" spans="4:13" ht="15.75" thickBot="1" x14ac:dyDescent="0.3">
      <c r="G77" s="132" t="s">
        <v>320</v>
      </c>
      <c r="H77" s="100">
        <v>0.5</v>
      </c>
      <c r="I77" s="100">
        <v>0.95</v>
      </c>
      <c r="J77" s="140">
        <v>0.75</v>
      </c>
      <c r="M77">
        <v>1.1499999999999999</v>
      </c>
    </row>
    <row r="78" spans="4:13" x14ac:dyDescent="0.25">
      <c r="G78" s="142" t="s">
        <v>316</v>
      </c>
      <c r="M78">
        <v>1.1000000000000001</v>
      </c>
    </row>
    <row r="79" spans="4:13" x14ac:dyDescent="0.25">
      <c r="M79">
        <v>1.1000000000000001</v>
      </c>
    </row>
    <row r="80" spans="4:13" ht="15.75" thickBot="1" x14ac:dyDescent="0.3">
      <c r="M80">
        <v>1.05</v>
      </c>
    </row>
    <row r="81" spans="12:13" ht="15.75" thickBot="1" x14ac:dyDescent="0.3">
      <c r="L81" t="s">
        <v>349</v>
      </c>
      <c r="M81" s="148">
        <f>AVERAGE(M74:M80)</f>
        <v>1.0857142857142856</v>
      </c>
    </row>
  </sheetData>
  <mergeCells count="3">
    <mergeCell ref="A6:A8"/>
    <mergeCell ref="J1:N1"/>
    <mergeCell ref="D1:I1"/>
  </mergeCell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58"/>
  <sheetViews>
    <sheetView topLeftCell="A7" workbookViewId="0">
      <selection activeCell="F22" sqref="F22"/>
    </sheetView>
  </sheetViews>
  <sheetFormatPr defaultColWidth="17" defaultRowHeight="15" x14ac:dyDescent="0.25"/>
  <cols>
    <col min="1" max="1" width="24.7109375" bestFit="1" customWidth="1"/>
    <col min="2" max="2" width="24.7109375" style="18" customWidth="1"/>
    <col min="7" max="7" width="17" style="16"/>
    <col min="8" max="8" width="17" style="17"/>
  </cols>
  <sheetData>
    <row r="1" spans="1:8" x14ac:dyDescent="0.25">
      <c r="A1" s="12" t="s">
        <v>3</v>
      </c>
      <c r="B1" s="12"/>
    </row>
    <row r="2" spans="1:8" x14ac:dyDescent="0.25">
      <c r="B2"/>
    </row>
    <row r="3" spans="1:8" x14ac:dyDescent="0.25">
      <c r="A3" s="12" t="s">
        <v>278</v>
      </c>
      <c r="B3" s="12" t="s">
        <v>352</v>
      </c>
    </row>
    <row r="4" spans="1:8" x14ac:dyDescent="0.25">
      <c r="A4" s="12" t="s">
        <v>4</v>
      </c>
      <c r="B4" s="12"/>
    </row>
    <row r="5" spans="1:8" ht="15.75" thickBot="1" x14ac:dyDescent="0.3">
      <c r="B5"/>
      <c r="G5"/>
      <c r="H5"/>
    </row>
    <row r="6" spans="1:8" ht="15.75" thickBot="1" x14ac:dyDescent="0.3">
      <c r="A6" s="13" t="s">
        <v>5</v>
      </c>
      <c r="B6" s="13" t="s">
        <v>166</v>
      </c>
      <c r="C6" s="13" t="s">
        <v>6</v>
      </c>
      <c r="D6" s="13" t="s">
        <v>7</v>
      </c>
      <c r="E6" s="13" t="s">
        <v>8</v>
      </c>
      <c r="G6" t="s">
        <v>325</v>
      </c>
      <c r="H6" t="s">
        <v>326</v>
      </c>
    </row>
    <row r="7" spans="1:8" x14ac:dyDescent="0.25">
      <c r="A7" s="14" t="s">
        <v>9</v>
      </c>
      <c r="B7" s="19">
        <f>INT(A7)</f>
        <v>42125</v>
      </c>
      <c r="C7" s="20">
        <v>0</v>
      </c>
      <c r="D7" s="20">
        <v>0.16</v>
      </c>
      <c r="E7" s="20">
        <v>0.19</v>
      </c>
      <c r="G7" t="s">
        <v>327</v>
      </c>
      <c r="H7" t="s">
        <v>328</v>
      </c>
    </row>
    <row r="8" spans="1:8" x14ac:dyDescent="0.25">
      <c r="A8" s="14" t="s">
        <v>10</v>
      </c>
      <c r="B8" s="19">
        <f t="shared" ref="B8:B71" si="0">INT(A8)</f>
        <v>42126</v>
      </c>
      <c r="C8" s="20">
        <v>0</v>
      </c>
      <c r="D8" s="20">
        <v>0.13</v>
      </c>
      <c r="E8" s="20">
        <v>0.16</v>
      </c>
      <c r="G8" t="s">
        <v>329</v>
      </c>
      <c r="H8" t="s">
        <v>330</v>
      </c>
    </row>
    <row r="9" spans="1:8" x14ac:dyDescent="0.25">
      <c r="A9" s="14" t="s">
        <v>11</v>
      </c>
      <c r="B9" s="19">
        <f t="shared" si="0"/>
        <v>42127</v>
      </c>
      <c r="C9" s="20">
        <v>0</v>
      </c>
      <c r="D9" s="20">
        <v>0.16</v>
      </c>
      <c r="E9" s="20">
        <v>0.2</v>
      </c>
      <c r="G9"/>
      <c r="H9"/>
    </row>
    <row r="10" spans="1:8" x14ac:dyDescent="0.25">
      <c r="A10" s="14" t="s">
        <v>12</v>
      </c>
      <c r="B10" s="19">
        <f t="shared" si="0"/>
        <v>42128</v>
      </c>
      <c r="C10" s="20">
        <v>0</v>
      </c>
      <c r="D10" s="20">
        <v>0.14000000000000001</v>
      </c>
      <c r="E10" s="20">
        <v>0.17</v>
      </c>
    </row>
    <row r="11" spans="1:8" x14ac:dyDescent="0.25">
      <c r="A11" s="14" t="s">
        <v>13</v>
      </c>
      <c r="B11" s="19">
        <f t="shared" si="0"/>
        <v>42129</v>
      </c>
      <c r="C11" s="20">
        <v>0</v>
      </c>
      <c r="D11" s="20">
        <v>0.11</v>
      </c>
      <c r="E11" s="20">
        <v>0.13</v>
      </c>
    </row>
    <row r="12" spans="1:8" x14ac:dyDescent="0.25">
      <c r="A12" s="14" t="s">
        <v>14</v>
      </c>
      <c r="B12" s="19">
        <f t="shared" si="0"/>
        <v>42130</v>
      </c>
      <c r="C12" s="20">
        <v>0.65</v>
      </c>
      <c r="D12" s="20">
        <v>0.05</v>
      </c>
      <c r="E12" s="20">
        <v>0.06</v>
      </c>
    </row>
    <row r="13" spans="1:8" x14ac:dyDescent="0.25">
      <c r="A13" s="14" t="s">
        <v>15</v>
      </c>
      <c r="B13" s="19">
        <f t="shared" si="0"/>
        <v>42131</v>
      </c>
      <c r="C13" s="20">
        <v>0.76</v>
      </c>
      <c r="D13" s="20">
        <v>0.1</v>
      </c>
      <c r="E13" s="20">
        <v>0.11</v>
      </c>
    </row>
    <row r="14" spans="1:8" x14ac:dyDescent="0.25">
      <c r="A14" s="14" t="s">
        <v>16</v>
      </c>
      <c r="B14" s="19">
        <f t="shared" si="0"/>
        <v>42132</v>
      </c>
      <c r="C14" s="20">
        <v>0.03</v>
      </c>
      <c r="D14" s="20">
        <v>0.1</v>
      </c>
      <c r="E14" s="20">
        <v>0.12</v>
      </c>
    </row>
    <row r="15" spans="1:8" x14ac:dyDescent="0.25">
      <c r="A15" s="14" t="s">
        <v>17</v>
      </c>
      <c r="B15" s="19">
        <f t="shared" si="0"/>
        <v>42133</v>
      </c>
      <c r="C15" s="20">
        <v>0.16</v>
      </c>
      <c r="D15" s="20">
        <v>0.05</v>
      </c>
      <c r="E15" s="20">
        <v>0.05</v>
      </c>
    </row>
    <row r="16" spans="1:8" x14ac:dyDescent="0.25">
      <c r="A16" s="14" t="s">
        <v>18</v>
      </c>
      <c r="B16" s="19">
        <f t="shared" si="0"/>
        <v>42134</v>
      </c>
      <c r="C16" s="20">
        <v>0.01</v>
      </c>
      <c r="D16" s="20">
        <v>0.14000000000000001</v>
      </c>
      <c r="E16" s="20">
        <v>0.17</v>
      </c>
    </row>
    <row r="17" spans="1:5" x14ac:dyDescent="0.25">
      <c r="A17" s="14" t="s">
        <v>19</v>
      </c>
      <c r="B17" s="19">
        <f t="shared" si="0"/>
        <v>42135</v>
      </c>
      <c r="C17" s="20">
        <v>0</v>
      </c>
      <c r="D17" s="20">
        <v>0.16</v>
      </c>
      <c r="E17" s="20">
        <v>0.2</v>
      </c>
    </row>
    <row r="18" spans="1:5" x14ac:dyDescent="0.25">
      <c r="A18" s="14" t="s">
        <v>20</v>
      </c>
      <c r="B18" s="19">
        <f t="shared" si="0"/>
        <v>42136</v>
      </c>
      <c r="C18" s="20">
        <v>0</v>
      </c>
      <c r="D18" s="20">
        <v>0.19</v>
      </c>
      <c r="E18" s="20">
        <v>0.26</v>
      </c>
    </row>
    <row r="19" spans="1:5" x14ac:dyDescent="0.25">
      <c r="A19" s="14" t="s">
        <v>21</v>
      </c>
      <c r="B19" s="19">
        <f t="shared" si="0"/>
        <v>42137</v>
      </c>
      <c r="C19" s="20">
        <v>0</v>
      </c>
      <c r="D19" s="20">
        <v>0.18</v>
      </c>
      <c r="E19" s="20">
        <v>0.22</v>
      </c>
    </row>
    <row r="20" spans="1:5" x14ac:dyDescent="0.25">
      <c r="A20" s="14" t="s">
        <v>22</v>
      </c>
      <c r="B20" s="19">
        <f t="shared" si="0"/>
        <v>42138</v>
      </c>
      <c r="C20" s="20">
        <v>0.05</v>
      </c>
      <c r="D20" s="20">
        <v>0.16</v>
      </c>
      <c r="E20" s="20">
        <v>0.21</v>
      </c>
    </row>
    <row r="21" spans="1:5" x14ac:dyDescent="0.25">
      <c r="A21" s="14" t="s">
        <v>23</v>
      </c>
      <c r="B21" s="19">
        <f t="shared" si="0"/>
        <v>42139</v>
      </c>
      <c r="C21" s="20">
        <v>0.25</v>
      </c>
      <c r="D21" s="20">
        <v>0.05</v>
      </c>
      <c r="E21" s="20">
        <v>0.06</v>
      </c>
    </row>
    <row r="22" spans="1:5" x14ac:dyDescent="0.25">
      <c r="A22" s="14" t="s">
        <v>24</v>
      </c>
      <c r="B22" s="19">
        <f t="shared" si="0"/>
        <v>42140</v>
      </c>
      <c r="C22" s="20">
        <v>0.72</v>
      </c>
      <c r="D22" s="20">
        <v>0.04</v>
      </c>
      <c r="E22" s="20">
        <v>0.05</v>
      </c>
    </row>
    <row r="23" spans="1:5" x14ac:dyDescent="0.25">
      <c r="A23" s="14" t="s">
        <v>25</v>
      </c>
      <c r="B23" s="19">
        <f t="shared" si="0"/>
        <v>42141</v>
      </c>
      <c r="C23" s="20">
        <v>0.01</v>
      </c>
      <c r="D23" s="20">
        <v>0.09</v>
      </c>
      <c r="E23" s="20">
        <v>0.1</v>
      </c>
    </row>
    <row r="24" spans="1:5" x14ac:dyDescent="0.25">
      <c r="A24" s="14" t="s">
        <v>26</v>
      </c>
      <c r="B24" s="19">
        <f t="shared" si="0"/>
        <v>42142</v>
      </c>
      <c r="C24" s="20">
        <v>0.22</v>
      </c>
      <c r="D24" s="20">
        <v>0.09</v>
      </c>
      <c r="E24" s="20">
        <v>0.1</v>
      </c>
    </row>
    <row r="25" spans="1:5" x14ac:dyDescent="0.25">
      <c r="A25" s="14" t="s">
        <v>27</v>
      </c>
      <c r="B25" s="19">
        <f t="shared" si="0"/>
        <v>42143</v>
      </c>
      <c r="C25" s="20">
        <v>0.42</v>
      </c>
      <c r="D25" s="20">
        <v>0.06</v>
      </c>
      <c r="E25" s="20">
        <v>7.0000000000000007E-2</v>
      </c>
    </row>
    <row r="26" spans="1:5" x14ac:dyDescent="0.25">
      <c r="A26" s="14" t="s">
        <v>28</v>
      </c>
      <c r="B26" s="19">
        <f t="shared" si="0"/>
        <v>42144</v>
      </c>
      <c r="C26" s="20">
        <v>0.12</v>
      </c>
      <c r="D26" s="20">
        <v>0.12</v>
      </c>
      <c r="E26" s="20">
        <v>0.14000000000000001</v>
      </c>
    </row>
    <row r="27" spans="1:5" x14ac:dyDescent="0.25">
      <c r="A27" s="14" t="s">
        <v>29</v>
      </c>
      <c r="B27" s="19">
        <f t="shared" si="0"/>
        <v>42145</v>
      </c>
      <c r="C27" s="20">
        <v>0.36</v>
      </c>
      <c r="D27" s="20">
        <v>0.11</v>
      </c>
      <c r="E27" s="20">
        <v>0.14000000000000001</v>
      </c>
    </row>
    <row r="28" spans="1:5" x14ac:dyDescent="0.25">
      <c r="A28" s="14" t="s">
        <v>30</v>
      </c>
      <c r="B28" s="19">
        <f t="shared" si="0"/>
        <v>42146</v>
      </c>
      <c r="C28" s="20">
        <v>0.01</v>
      </c>
      <c r="D28" s="20">
        <v>0.1</v>
      </c>
      <c r="E28" s="20">
        <v>0.12</v>
      </c>
    </row>
    <row r="29" spans="1:5" x14ac:dyDescent="0.25">
      <c r="A29" s="14" t="s">
        <v>31</v>
      </c>
      <c r="B29" s="19">
        <f t="shared" si="0"/>
        <v>42147</v>
      </c>
      <c r="C29" s="20">
        <v>0.46</v>
      </c>
      <c r="D29" s="20">
        <v>0.1</v>
      </c>
      <c r="E29" s="20">
        <v>0.11</v>
      </c>
    </row>
    <row r="30" spans="1:5" x14ac:dyDescent="0.25">
      <c r="A30" s="14" t="s">
        <v>32</v>
      </c>
      <c r="B30" s="19">
        <f t="shared" si="0"/>
        <v>42148</v>
      </c>
      <c r="C30" s="20">
        <v>0.12</v>
      </c>
      <c r="D30" s="20">
        <v>0.12</v>
      </c>
      <c r="E30" s="20">
        <v>0.14000000000000001</v>
      </c>
    </row>
    <row r="31" spans="1:5" x14ac:dyDescent="0.25">
      <c r="A31" s="14" t="s">
        <v>33</v>
      </c>
      <c r="B31" s="19">
        <f t="shared" si="0"/>
        <v>42149</v>
      </c>
      <c r="C31" s="20">
        <v>0</v>
      </c>
      <c r="D31" s="20">
        <v>0.1</v>
      </c>
      <c r="E31" s="20">
        <v>0.12</v>
      </c>
    </row>
    <row r="32" spans="1:5" x14ac:dyDescent="0.25">
      <c r="A32" s="14" t="s">
        <v>34</v>
      </c>
      <c r="B32" s="19">
        <f t="shared" si="0"/>
        <v>42150</v>
      </c>
      <c r="C32" s="20">
        <v>7.0000000000000007E-2</v>
      </c>
      <c r="D32" s="20">
        <v>7.0000000000000007E-2</v>
      </c>
      <c r="E32" s="20">
        <v>0.08</v>
      </c>
    </row>
    <row r="33" spans="1:5" x14ac:dyDescent="0.25">
      <c r="A33" s="14" t="s">
        <v>35</v>
      </c>
      <c r="B33" s="19">
        <f t="shared" si="0"/>
        <v>42151</v>
      </c>
      <c r="C33" s="20">
        <v>0.13</v>
      </c>
      <c r="D33" s="20">
        <v>0.12</v>
      </c>
      <c r="E33" s="20">
        <v>0.16</v>
      </c>
    </row>
    <row r="34" spans="1:5" x14ac:dyDescent="0.25">
      <c r="A34" s="14" t="s">
        <v>36</v>
      </c>
      <c r="B34" s="19">
        <f t="shared" si="0"/>
        <v>42152</v>
      </c>
      <c r="C34" s="20">
        <v>0.13</v>
      </c>
      <c r="D34" s="20">
        <v>0.09</v>
      </c>
      <c r="E34" s="20">
        <v>0.12</v>
      </c>
    </row>
    <row r="35" spans="1:5" x14ac:dyDescent="0.25">
      <c r="A35" s="14" t="s">
        <v>37</v>
      </c>
      <c r="B35" s="19">
        <f t="shared" si="0"/>
        <v>42153</v>
      </c>
      <c r="C35" s="20">
        <v>0</v>
      </c>
      <c r="D35" s="20">
        <v>0.15</v>
      </c>
      <c r="E35" s="20">
        <v>0.18</v>
      </c>
    </row>
    <row r="36" spans="1:5" x14ac:dyDescent="0.25">
      <c r="A36" s="14" t="s">
        <v>38</v>
      </c>
      <c r="B36" s="19">
        <f t="shared" si="0"/>
        <v>42154</v>
      </c>
      <c r="C36" s="20">
        <v>0</v>
      </c>
      <c r="D36" s="20">
        <v>0.19</v>
      </c>
      <c r="E36" s="20">
        <v>0.22</v>
      </c>
    </row>
    <row r="37" spans="1:5" x14ac:dyDescent="0.25">
      <c r="A37" s="14" t="s">
        <v>39</v>
      </c>
      <c r="B37" s="19">
        <f t="shared" si="0"/>
        <v>42155</v>
      </c>
      <c r="C37" s="20">
        <v>0</v>
      </c>
      <c r="D37" s="20">
        <v>0.18</v>
      </c>
      <c r="E37" s="20">
        <v>0.22</v>
      </c>
    </row>
    <row r="38" spans="1:5" x14ac:dyDescent="0.25">
      <c r="A38" s="14" t="s">
        <v>40</v>
      </c>
      <c r="B38" s="19">
        <f t="shared" si="0"/>
        <v>42156</v>
      </c>
      <c r="C38" s="20">
        <v>0</v>
      </c>
      <c r="D38" s="20">
        <v>0.15</v>
      </c>
      <c r="E38" s="20">
        <v>0.19</v>
      </c>
    </row>
    <row r="39" spans="1:5" x14ac:dyDescent="0.25">
      <c r="A39" s="14" t="s">
        <v>41</v>
      </c>
      <c r="B39" s="19">
        <f t="shared" si="0"/>
        <v>42157</v>
      </c>
      <c r="C39" s="20">
        <v>0</v>
      </c>
      <c r="D39" s="20">
        <v>0.1</v>
      </c>
      <c r="E39" s="20">
        <v>0.13</v>
      </c>
    </row>
    <row r="40" spans="1:5" x14ac:dyDescent="0.25">
      <c r="A40" s="14" t="s">
        <v>42</v>
      </c>
      <c r="B40" s="19">
        <f t="shared" si="0"/>
        <v>42158</v>
      </c>
      <c r="C40" s="20">
        <v>0.08</v>
      </c>
      <c r="D40" s="20">
        <v>7.0000000000000007E-2</v>
      </c>
      <c r="E40" s="20">
        <v>0.12</v>
      </c>
    </row>
    <row r="41" spans="1:5" x14ac:dyDescent="0.25">
      <c r="A41" s="14" t="s">
        <v>43</v>
      </c>
      <c r="B41" s="19">
        <f t="shared" si="0"/>
        <v>42159</v>
      </c>
      <c r="C41" s="20">
        <v>0</v>
      </c>
      <c r="D41" s="20">
        <v>0.05</v>
      </c>
      <c r="E41" s="20">
        <v>0.08</v>
      </c>
    </row>
    <row r="42" spans="1:5" x14ac:dyDescent="0.25">
      <c r="A42" s="14" t="s">
        <v>44</v>
      </c>
      <c r="B42" s="19">
        <f t="shared" si="0"/>
        <v>42160</v>
      </c>
      <c r="C42" s="20">
        <v>0</v>
      </c>
      <c r="D42" s="20">
        <v>0.05</v>
      </c>
      <c r="E42" s="20">
        <v>0.09</v>
      </c>
    </row>
    <row r="43" spans="1:5" x14ac:dyDescent="0.25">
      <c r="A43" s="14" t="s">
        <v>45</v>
      </c>
      <c r="B43" s="19">
        <f t="shared" si="0"/>
        <v>42161</v>
      </c>
      <c r="C43" s="20">
        <v>0</v>
      </c>
      <c r="D43" s="20">
        <v>7.0000000000000007E-2</v>
      </c>
      <c r="E43" s="20">
        <v>0.12</v>
      </c>
    </row>
    <row r="44" spans="1:5" x14ac:dyDescent="0.25">
      <c r="A44" s="14" t="s">
        <v>46</v>
      </c>
      <c r="B44" s="19">
        <f t="shared" si="0"/>
        <v>42162</v>
      </c>
      <c r="C44" s="20">
        <v>0</v>
      </c>
      <c r="D44" s="20">
        <v>0.06</v>
      </c>
      <c r="E44" s="20">
        <v>0.11</v>
      </c>
    </row>
    <row r="45" spans="1:5" x14ac:dyDescent="0.25">
      <c r="A45" s="14" t="s">
        <v>47</v>
      </c>
      <c r="B45" s="19">
        <f t="shared" si="0"/>
        <v>42163</v>
      </c>
      <c r="C45" s="20">
        <v>0</v>
      </c>
      <c r="D45" s="20">
        <v>7.0000000000000007E-2</v>
      </c>
      <c r="E45" s="20">
        <v>0.11</v>
      </c>
    </row>
    <row r="46" spans="1:5" x14ac:dyDescent="0.25">
      <c r="A46" s="14" t="s">
        <v>48</v>
      </c>
      <c r="B46" s="19">
        <f t="shared" si="0"/>
        <v>42164</v>
      </c>
      <c r="C46" s="20">
        <v>0</v>
      </c>
      <c r="D46" s="20">
        <v>0.06</v>
      </c>
      <c r="E46" s="20">
        <v>0.11</v>
      </c>
    </row>
    <row r="47" spans="1:5" x14ac:dyDescent="0.25">
      <c r="A47" s="14" t="s">
        <v>49</v>
      </c>
      <c r="B47" s="19">
        <f t="shared" si="0"/>
        <v>42165</v>
      </c>
      <c r="C47" s="20">
        <v>0.52</v>
      </c>
      <c r="D47" s="20">
        <v>0.1</v>
      </c>
      <c r="E47" s="20">
        <v>0.15</v>
      </c>
    </row>
    <row r="48" spans="1:5" x14ac:dyDescent="0.25">
      <c r="A48" s="14" t="s">
        <v>50</v>
      </c>
      <c r="B48" s="19">
        <f t="shared" si="0"/>
        <v>42166</v>
      </c>
      <c r="C48" s="20">
        <v>0.09</v>
      </c>
      <c r="D48" s="20">
        <v>0.22</v>
      </c>
      <c r="E48" s="20">
        <v>0.26</v>
      </c>
    </row>
    <row r="49" spans="1:5" x14ac:dyDescent="0.25">
      <c r="A49" s="14" t="s">
        <v>51</v>
      </c>
      <c r="B49" s="19">
        <f t="shared" si="0"/>
        <v>42167</v>
      </c>
      <c r="C49" s="20">
        <v>0</v>
      </c>
      <c r="D49" s="20">
        <v>0.23</v>
      </c>
      <c r="E49" s="20">
        <v>0.26</v>
      </c>
    </row>
    <row r="50" spans="1:5" x14ac:dyDescent="0.25">
      <c r="A50" s="14" t="s">
        <v>52</v>
      </c>
      <c r="B50" s="19">
        <f t="shared" si="0"/>
        <v>42168</v>
      </c>
      <c r="C50" s="20">
        <v>0</v>
      </c>
      <c r="D50" s="20">
        <v>0.23</v>
      </c>
      <c r="E50" s="20">
        <v>0.27</v>
      </c>
    </row>
    <row r="51" spans="1:5" x14ac:dyDescent="0.25">
      <c r="A51" s="14" t="s">
        <v>53</v>
      </c>
      <c r="B51" s="19">
        <f t="shared" si="0"/>
        <v>42169</v>
      </c>
      <c r="C51" s="20">
        <v>0</v>
      </c>
      <c r="D51" s="20">
        <v>0.22</v>
      </c>
      <c r="E51" s="20">
        <v>0.25</v>
      </c>
    </row>
    <row r="52" spans="1:5" x14ac:dyDescent="0.25">
      <c r="A52" s="14" t="s">
        <v>54</v>
      </c>
      <c r="B52" s="19">
        <f t="shared" si="0"/>
        <v>42170</v>
      </c>
      <c r="C52" s="20">
        <v>0</v>
      </c>
      <c r="D52" s="20">
        <v>0.27</v>
      </c>
      <c r="E52" s="20">
        <v>0.35</v>
      </c>
    </row>
    <row r="53" spans="1:5" x14ac:dyDescent="0.25">
      <c r="A53" s="14" t="s">
        <v>55</v>
      </c>
      <c r="B53" s="19">
        <f t="shared" si="0"/>
        <v>42171</v>
      </c>
      <c r="C53" s="20">
        <v>0</v>
      </c>
      <c r="D53" s="20">
        <v>0.25</v>
      </c>
      <c r="E53" s="20">
        <v>0.28999999999999998</v>
      </c>
    </row>
    <row r="54" spans="1:5" x14ac:dyDescent="0.25">
      <c r="A54" s="14" t="s">
        <v>56</v>
      </c>
      <c r="B54" s="19">
        <f t="shared" si="0"/>
        <v>42172</v>
      </c>
      <c r="C54" s="20">
        <v>0</v>
      </c>
      <c r="D54" s="20">
        <v>0.25</v>
      </c>
      <c r="E54" s="20">
        <v>0.3</v>
      </c>
    </row>
    <row r="55" spans="1:5" x14ac:dyDescent="0.25">
      <c r="A55" s="14" t="s">
        <v>57</v>
      </c>
      <c r="B55" s="19">
        <f t="shared" si="0"/>
        <v>42173</v>
      </c>
      <c r="C55" s="20">
        <v>0</v>
      </c>
      <c r="D55" s="20">
        <v>0.26</v>
      </c>
      <c r="E55" s="20">
        <v>0.32</v>
      </c>
    </row>
    <row r="56" spans="1:5" x14ac:dyDescent="0.25">
      <c r="A56" s="14" t="s">
        <v>58</v>
      </c>
      <c r="B56" s="19">
        <f t="shared" si="0"/>
        <v>42174</v>
      </c>
      <c r="C56" s="20">
        <v>0</v>
      </c>
      <c r="D56" s="20">
        <v>0.26</v>
      </c>
      <c r="E56" s="20">
        <v>0.32</v>
      </c>
    </row>
    <row r="57" spans="1:5" x14ac:dyDescent="0.25">
      <c r="A57" s="14" t="s">
        <v>59</v>
      </c>
      <c r="B57" s="19">
        <f t="shared" si="0"/>
        <v>42175</v>
      </c>
      <c r="C57" s="20">
        <v>0</v>
      </c>
      <c r="D57" s="20">
        <v>0.19</v>
      </c>
      <c r="E57" s="20">
        <v>0.24</v>
      </c>
    </row>
    <row r="58" spans="1:5" x14ac:dyDescent="0.25">
      <c r="A58" s="14" t="s">
        <v>60</v>
      </c>
      <c r="B58" s="19">
        <f t="shared" si="0"/>
        <v>42176</v>
      </c>
      <c r="C58" s="20">
        <v>0</v>
      </c>
      <c r="D58" s="20">
        <v>0.21</v>
      </c>
      <c r="E58" s="20">
        <v>0.27</v>
      </c>
    </row>
    <row r="59" spans="1:5" x14ac:dyDescent="0.25">
      <c r="A59" s="14" t="s">
        <v>61</v>
      </c>
      <c r="B59" s="19">
        <f t="shared" si="0"/>
        <v>42177</v>
      </c>
      <c r="C59" s="20">
        <v>0</v>
      </c>
      <c r="D59" s="20">
        <v>0.21</v>
      </c>
      <c r="E59" s="20">
        <v>0.26</v>
      </c>
    </row>
    <row r="60" spans="1:5" x14ac:dyDescent="0.25">
      <c r="A60" s="14" t="s">
        <v>62</v>
      </c>
      <c r="B60" s="19">
        <f t="shared" si="0"/>
        <v>42178</v>
      </c>
      <c r="C60" s="20">
        <v>0</v>
      </c>
      <c r="D60" s="20">
        <v>0.2</v>
      </c>
      <c r="E60" s="20">
        <v>0.23</v>
      </c>
    </row>
    <row r="61" spans="1:5" x14ac:dyDescent="0.25">
      <c r="A61" s="14" t="s">
        <v>63</v>
      </c>
      <c r="B61" s="19">
        <f t="shared" si="0"/>
        <v>42179</v>
      </c>
      <c r="C61" s="20">
        <v>0</v>
      </c>
      <c r="D61" s="20">
        <v>0.2</v>
      </c>
      <c r="E61" s="20">
        <v>0.24</v>
      </c>
    </row>
    <row r="62" spans="1:5" x14ac:dyDescent="0.25">
      <c r="A62" s="14" t="s">
        <v>64</v>
      </c>
      <c r="B62" s="19">
        <f t="shared" si="0"/>
        <v>42180</v>
      </c>
      <c r="C62" s="20">
        <v>0</v>
      </c>
      <c r="D62" s="20">
        <v>0.2</v>
      </c>
      <c r="E62" s="20">
        <v>0.24</v>
      </c>
    </row>
    <row r="63" spans="1:5" x14ac:dyDescent="0.25">
      <c r="A63" s="14" t="s">
        <v>65</v>
      </c>
      <c r="B63" s="19">
        <f t="shared" si="0"/>
        <v>42181</v>
      </c>
      <c r="C63" s="20">
        <v>0</v>
      </c>
      <c r="D63" s="20">
        <v>0.2</v>
      </c>
      <c r="E63" s="20">
        <v>0.24</v>
      </c>
    </row>
    <row r="64" spans="1:5" x14ac:dyDescent="0.25">
      <c r="A64" s="14" t="s">
        <v>66</v>
      </c>
      <c r="B64" s="19">
        <f t="shared" si="0"/>
        <v>42182</v>
      </c>
      <c r="C64" s="20">
        <v>0</v>
      </c>
      <c r="D64" s="20">
        <v>0.2</v>
      </c>
      <c r="E64" s="20">
        <v>0.24</v>
      </c>
    </row>
    <row r="65" spans="1:5" x14ac:dyDescent="0.25">
      <c r="A65" s="14" t="s">
        <v>67</v>
      </c>
      <c r="B65" s="19">
        <f t="shared" si="0"/>
        <v>42183</v>
      </c>
      <c r="C65" s="20">
        <v>0</v>
      </c>
      <c r="D65" s="20">
        <v>0.26</v>
      </c>
      <c r="E65" s="20">
        <v>0.31</v>
      </c>
    </row>
    <row r="66" spans="1:5" x14ac:dyDescent="0.25">
      <c r="A66" s="14" t="s">
        <v>68</v>
      </c>
      <c r="B66" s="19">
        <f t="shared" si="0"/>
        <v>42184</v>
      </c>
      <c r="C66" s="20">
        <v>0</v>
      </c>
      <c r="D66" s="20">
        <v>0.26</v>
      </c>
      <c r="E66" s="20">
        <v>0.31</v>
      </c>
    </row>
    <row r="67" spans="1:5" x14ac:dyDescent="0.25">
      <c r="A67" s="14" t="s">
        <v>69</v>
      </c>
      <c r="B67" s="19">
        <f t="shared" si="0"/>
        <v>42185</v>
      </c>
      <c r="C67" s="20">
        <v>0</v>
      </c>
      <c r="D67" s="20">
        <v>0.25</v>
      </c>
      <c r="E67" s="20">
        <v>0.3</v>
      </c>
    </row>
    <row r="68" spans="1:5" x14ac:dyDescent="0.25">
      <c r="A68" s="14" t="s">
        <v>70</v>
      </c>
      <c r="B68" s="19">
        <f t="shared" si="0"/>
        <v>42186</v>
      </c>
      <c r="C68" s="20">
        <v>0</v>
      </c>
      <c r="D68" s="20">
        <v>0.25</v>
      </c>
      <c r="E68" s="20">
        <v>0.3</v>
      </c>
    </row>
    <row r="69" spans="1:5" x14ac:dyDescent="0.25">
      <c r="A69" s="14" t="s">
        <v>71</v>
      </c>
      <c r="B69" s="19">
        <f t="shared" si="0"/>
        <v>42187</v>
      </c>
      <c r="C69" s="20">
        <v>0</v>
      </c>
      <c r="D69" s="20">
        <v>0.24</v>
      </c>
      <c r="E69" s="20">
        <v>0.28000000000000003</v>
      </c>
    </row>
    <row r="70" spans="1:5" x14ac:dyDescent="0.25">
      <c r="A70" s="14" t="s">
        <v>72</v>
      </c>
      <c r="B70" s="19">
        <f t="shared" si="0"/>
        <v>42188</v>
      </c>
      <c r="C70" s="20">
        <v>0</v>
      </c>
      <c r="D70" s="20">
        <v>0.24</v>
      </c>
      <c r="E70" s="20">
        <v>0.28999999999999998</v>
      </c>
    </row>
    <row r="71" spans="1:5" x14ac:dyDescent="0.25">
      <c r="A71" s="14" t="s">
        <v>73</v>
      </c>
      <c r="B71" s="19">
        <f t="shared" si="0"/>
        <v>42189</v>
      </c>
      <c r="C71" s="20">
        <v>0</v>
      </c>
      <c r="D71" s="20">
        <v>0.27</v>
      </c>
      <c r="E71" s="20">
        <v>0.33</v>
      </c>
    </row>
    <row r="72" spans="1:5" x14ac:dyDescent="0.25">
      <c r="A72" s="14" t="s">
        <v>74</v>
      </c>
      <c r="B72" s="19">
        <f t="shared" ref="B72:B135" si="1">INT(A72)</f>
        <v>42190</v>
      </c>
      <c r="C72" s="20">
        <v>0.09</v>
      </c>
      <c r="D72" s="20">
        <v>0.17</v>
      </c>
      <c r="E72" s="20">
        <v>0.2</v>
      </c>
    </row>
    <row r="73" spans="1:5" x14ac:dyDescent="0.25">
      <c r="A73" s="14" t="s">
        <v>75</v>
      </c>
      <c r="B73" s="19">
        <f t="shared" si="1"/>
        <v>42191</v>
      </c>
      <c r="C73" s="20">
        <v>0</v>
      </c>
      <c r="D73" s="20">
        <v>0.21</v>
      </c>
      <c r="E73" s="20">
        <v>0.25</v>
      </c>
    </row>
    <row r="74" spans="1:5" x14ac:dyDescent="0.25">
      <c r="A74" s="14" t="s">
        <v>76</v>
      </c>
      <c r="B74" s="19">
        <f t="shared" si="1"/>
        <v>42192</v>
      </c>
      <c r="C74" s="20">
        <v>0</v>
      </c>
      <c r="D74" s="20">
        <v>0.18</v>
      </c>
      <c r="E74" s="20">
        <v>0.22</v>
      </c>
    </row>
    <row r="75" spans="1:5" x14ac:dyDescent="0.25">
      <c r="A75" s="14" t="s">
        <v>77</v>
      </c>
      <c r="B75" s="19">
        <f t="shared" si="1"/>
        <v>42193</v>
      </c>
      <c r="C75" s="20">
        <v>0.25</v>
      </c>
      <c r="D75" s="20">
        <v>0.1</v>
      </c>
      <c r="E75" s="20">
        <v>0.11</v>
      </c>
    </row>
    <row r="76" spans="1:5" x14ac:dyDescent="0.25">
      <c r="A76" s="14" t="s">
        <v>78</v>
      </c>
      <c r="B76" s="19">
        <f t="shared" si="1"/>
        <v>42194</v>
      </c>
      <c r="C76" s="20">
        <v>0.19</v>
      </c>
      <c r="D76" s="20">
        <v>0.21</v>
      </c>
      <c r="E76" s="20">
        <v>0.25</v>
      </c>
    </row>
    <row r="77" spans="1:5" x14ac:dyDescent="0.25">
      <c r="A77" s="14" t="s">
        <v>79</v>
      </c>
      <c r="B77" s="19">
        <f t="shared" si="1"/>
        <v>42195</v>
      </c>
      <c r="C77" s="20">
        <v>0</v>
      </c>
      <c r="D77" s="20">
        <v>0.25</v>
      </c>
      <c r="E77" s="20">
        <v>0.31</v>
      </c>
    </row>
    <row r="78" spans="1:5" x14ac:dyDescent="0.25">
      <c r="A78" s="14" t="s">
        <v>80</v>
      </c>
      <c r="B78" s="19">
        <f t="shared" si="1"/>
        <v>42196</v>
      </c>
      <c r="C78" s="20">
        <v>0</v>
      </c>
      <c r="D78" s="20">
        <v>0.25</v>
      </c>
      <c r="E78" s="20">
        <v>0.32</v>
      </c>
    </row>
    <row r="79" spans="1:5" x14ac:dyDescent="0.25">
      <c r="A79" s="14" t="s">
        <v>81</v>
      </c>
      <c r="B79" s="19">
        <f t="shared" si="1"/>
        <v>42197</v>
      </c>
      <c r="C79" s="20">
        <v>0</v>
      </c>
      <c r="D79" s="20">
        <v>0.25</v>
      </c>
      <c r="E79" s="20">
        <v>0.3</v>
      </c>
    </row>
    <row r="80" spans="1:5" x14ac:dyDescent="0.25">
      <c r="A80" s="14" t="s">
        <v>82</v>
      </c>
      <c r="B80" s="19">
        <f t="shared" si="1"/>
        <v>42198</v>
      </c>
      <c r="C80" s="20">
        <v>0</v>
      </c>
      <c r="D80" s="20">
        <v>0.2</v>
      </c>
      <c r="E80" s="20">
        <v>0.24</v>
      </c>
    </row>
    <row r="81" spans="1:5" x14ac:dyDescent="0.25">
      <c r="A81" s="14" t="s">
        <v>83</v>
      </c>
      <c r="B81" s="19">
        <f t="shared" si="1"/>
        <v>42199</v>
      </c>
      <c r="C81" s="20">
        <v>0</v>
      </c>
      <c r="D81" s="20">
        <v>0.22</v>
      </c>
      <c r="E81" s="20">
        <v>0.26</v>
      </c>
    </row>
    <row r="82" spans="1:5" x14ac:dyDescent="0.25">
      <c r="A82" s="14" t="s">
        <v>84</v>
      </c>
      <c r="B82" s="19">
        <f t="shared" si="1"/>
        <v>42200</v>
      </c>
      <c r="C82" s="20">
        <v>0</v>
      </c>
      <c r="D82" s="20">
        <v>0.18</v>
      </c>
      <c r="E82" s="20">
        <v>0.22</v>
      </c>
    </row>
    <row r="83" spans="1:5" x14ac:dyDescent="0.25">
      <c r="A83" s="14" t="s">
        <v>85</v>
      </c>
      <c r="B83" s="19">
        <f t="shared" si="1"/>
        <v>42201</v>
      </c>
      <c r="C83" s="20">
        <v>0</v>
      </c>
      <c r="D83" s="20">
        <v>0.2</v>
      </c>
      <c r="E83" s="20">
        <v>0.24</v>
      </c>
    </row>
    <row r="84" spans="1:5" x14ac:dyDescent="0.25">
      <c r="A84" s="14" t="s">
        <v>86</v>
      </c>
      <c r="B84" s="19">
        <f t="shared" si="1"/>
        <v>42202</v>
      </c>
      <c r="C84" s="20">
        <v>0.01</v>
      </c>
      <c r="D84" s="20">
        <v>0.13</v>
      </c>
      <c r="E84" s="20">
        <v>0.16</v>
      </c>
    </row>
    <row r="85" spans="1:5" x14ac:dyDescent="0.25">
      <c r="A85" s="14" t="s">
        <v>87</v>
      </c>
      <c r="B85" s="19">
        <f t="shared" si="1"/>
        <v>42203</v>
      </c>
      <c r="C85" s="20">
        <v>0.04</v>
      </c>
      <c r="D85" s="20">
        <v>0.13</v>
      </c>
      <c r="E85" s="20">
        <v>0.17</v>
      </c>
    </row>
    <row r="86" spans="1:5" x14ac:dyDescent="0.25">
      <c r="A86" s="14" t="s">
        <v>88</v>
      </c>
      <c r="B86" s="19">
        <f t="shared" si="1"/>
        <v>42204</v>
      </c>
      <c r="C86" s="20">
        <v>0</v>
      </c>
      <c r="D86" s="20">
        <v>0.21</v>
      </c>
      <c r="E86" s="20">
        <v>0.24</v>
      </c>
    </row>
    <row r="87" spans="1:5" x14ac:dyDescent="0.25">
      <c r="A87" s="14" t="s">
        <v>89</v>
      </c>
      <c r="B87" s="19">
        <f t="shared" si="1"/>
        <v>42205</v>
      </c>
      <c r="C87" s="20">
        <v>0.03</v>
      </c>
      <c r="D87" s="20">
        <v>0.15</v>
      </c>
      <c r="E87" s="20">
        <v>0.18</v>
      </c>
    </row>
    <row r="88" spans="1:5" x14ac:dyDescent="0.25">
      <c r="A88" s="14" t="s">
        <v>90</v>
      </c>
      <c r="B88" s="19">
        <f t="shared" si="1"/>
        <v>42206</v>
      </c>
      <c r="C88" s="20">
        <v>0</v>
      </c>
      <c r="D88" s="20">
        <v>0.19</v>
      </c>
      <c r="E88" s="20">
        <v>0.23</v>
      </c>
    </row>
    <row r="89" spans="1:5" x14ac:dyDescent="0.25">
      <c r="A89" s="14" t="s">
        <v>91</v>
      </c>
      <c r="B89" s="19">
        <f t="shared" si="1"/>
        <v>42207</v>
      </c>
      <c r="C89" s="20">
        <v>0</v>
      </c>
      <c r="D89" s="20">
        <v>0.26</v>
      </c>
      <c r="E89" s="20">
        <v>0.33</v>
      </c>
    </row>
    <row r="90" spans="1:5" x14ac:dyDescent="0.25">
      <c r="A90" s="14" t="s">
        <v>92</v>
      </c>
      <c r="B90" s="19">
        <f t="shared" si="1"/>
        <v>42208</v>
      </c>
      <c r="C90" s="20">
        <v>0</v>
      </c>
      <c r="D90" s="20">
        <v>0.22</v>
      </c>
      <c r="E90" s="20">
        <v>0.27</v>
      </c>
    </row>
    <row r="91" spans="1:5" x14ac:dyDescent="0.25">
      <c r="A91" s="14" t="s">
        <v>93</v>
      </c>
      <c r="B91" s="19">
        <f t="shared" si="1"/>
        <v>42209</v>
      </c>
      <c r="C91" s="20">
        <v>0</v>
      </c>
      <c r="D91" s="20">
        <v>0.24</v>
      </c>
      <c r="E91" s="20">
        <v>0.3</v>
      </c>
    </row>
    <row r="92" spans="1:5" x14ac:dyDescent="0.25">
      <c r="A92" s="14" t="s">
        <v>94</v>
      </c>
      <c r="B92" s="19">
        <f t="shared" si="1"/>
        <v>42210</v>
      </c>
      <c r="C92" s="20">
        <v>0</v>
      </c>
      <c r="D92" s="20">
        <v>0.24</v>
      </c>
      <c r="E92" s="20">
        <v>0.3</v>
      </c>
    </row>
    <row r="93" spans="1:5" x14ac:dyDescent="0.25">
      <c r="A93" s="14" t="s">
        <v>95</v>
      </c>
      <c r="B93" s="19">
        <f t="shared" si="1"/>
        <v>42211</v>
      </c>
      <c r="C93" s="20">
        <v>0</v>
      </c>
      <c r="D93" s="20">
        <v>0.26</v>
      </c>
      <c r="E93" s="20">
        <v>0.34</v>
      </c>
    </row>
    <row r="94" spans="1:5" x14ac:dyDescent="0.25">
      <c r="A94" s="14" t="s">
        <v>96</v>
      </c>
      <c r="B94" s="19">
        <f t="shared" si="1"/>
        <v>42212</v>
      </c>
      <c r="C94" s="20">
        <v>0.08</v>
      </c>
      <c r="D94" s="20">
        <v>0.14000000000000001</v>
      </c>
      <c r="E94" s="20">
        <v>0.17</v>
      </c>
    </row>
    <row r="95" spans="1:5" x14ac:dyDescent="0.25">
      <c r="A95" s="14" t="s">
        <v>97</v>
      </c>
      <c r="B95" s="19">
        <f t="shared" si="1"/>
        <v>42213</v>
      </c>
      <c r="C95" s="20">
        <v>0</v>
      </c>
      <c r="D95" s="20">
        <v>0.2</v>
      </c>
      <c r="E95" s="20">
        <v>0.24</v>
      </c>
    </row>
    <row r="96" spans="1:5" x14ac:dyDescent="0.25">
      <c r="A96" s="14" t="s">
        <v>98</v>
      </c>
      <c r="B96" s="19">
        <f t="shared" si="1"/>
        <v>42214</v>
      </c>
      <c r="C96" s="20">
        <v>0</v>
      </c>
      <c r="D96" s="20">
        <v>0.21</v>
      </c>
      <c r="E96" s="20">
        <v>0.25</v>
      </c>
    </row>
    <row r="97" spans="1:5" x14ac:dyDescent="0.25">
      <c r="A97" s="14" t="s">
        <v>99</v>
      </c>
      <c r="B97" s="19">
        <f t="shared" si="1"/>
        <v>42215</v>
      </c>
      <c r="C97" s="20">
        <v>0</v>
      </c>
      <c r="D97" s="20">
        <v>0.23</v>
      </c>
      <c r="E97" s="20">
        <v>0.27</v>
      </c>
    </row>
    <row r="98" spans="1:5" x14ac:dyDescent="0.25">
      <c r="A98" s="14" t="s">
        <v>100</v>
      </c>
      <c r="B98" s="19">
        <f t="shared" si="1"/>
        <v>42217</v>
      </c>
      <c r="C98" s="20">
        <v>0</v>
      </c>
      <c r="D98" s="20">
        <v>0.22</v>
      </c>
      <c r="E98" s="20">
        <v>0.26</v>
      </c>
    </row>
    <row r="99" spans="1:5" x14ac:dyDescent="0.25">
      <c r="A99" s="14" t="s">
        <v>101</v>
      </c>
      <c r="B99" s="19">
        <f t="shared" si="1"/>
        <v>42218</v>
      </c>
      <c r="C99" s="20">
        <v>0</v>
      </c>
      <c r="D99" s="20">
        <v>0.25</v>
      </c>
      <c r="E99" s="20">
        <v>0.31</v>
      </c>
    </row>
    <row r="100" spans="1:5" x14ac:dyDescent="0.25">
      <c r="A100" s="14" t="s">
        <v>102</v>
      </c>
      <c r="B100" s="19">
        <f t="shared" si="1"/>
        <v>42219</v>
      </c>
      <c r="C100" s="20">
        <v>0.48</v>
      </c>
      <c r="D100" s="20">
        <v>0.06</v>
      </c>
      <c r="E100" s="20">
        <v>7.0000000000000007E-2</v>
      </c>
    </row>
    <row r="101" spans="1:5" x14ac:dyDescent="0.25">
      <c r="A101" s="14" t="s">
        <v>103</v>
      </c>
      <c r="B101" s="19">
        <f t="shared" si="1"/>
        <v>42220</v>
      </c>
      <c r="C101" s="20">
        <v>0</v>
      </c>
      <c r="D101" s="20">
        <v>0.2</v>
      </c>
      <c r="E101" s="20">
        <v>0.23</v>
      </c>
    </row>
    <row r="102" spans="1:5" x14ac:dyDescent="0.25">
      <c r="A102" s="14" t="s">
        <v>104</v>
      </c>
      <c r="B102" s="19">
        <f t="shared" si="1"/>
        <v>42221</v>
      </c>
      <c r="C102" s="20">
        <v>0</v>
      </c>
      <c r="D102" s="20">
        <v>0.19</v>
      </c>
      <c r="E102" s="20">
        <v>0.25</v>
      </c>
    </row>
    <row r="103" spans="1:5" x14ac:dyDescent="0.25">
      <c r="A103" s="14" t="s">
        <v>105</v>
      </c>
      <c r="B103" s="19">
        <f t="shared" si="1"/>
        <v>42222</v>
      </c>
      <c r="C103" s="20">
        <v>0</v>
      </c>
      <c r="D103" s="20">
        <v>0.2</v>
      </c>
      <c r="E103" s="20">
        <v>0.24</v>
      </c>
    </row>
    <row r="104" spans="1:5" x14ac:dyDescent="0.25">
      <c r="A104" s="14" t="s">
        <v>106</v>
      </c>
      <c r="B104" s="19">
        <f t="shared" si="1"/>
        <v>42223</v>
      </c>
      <c r="C104" s="20">
        <v>0.11</v>
      </c>
      <c r="D104" s="20">
        <v>0.08</v>
      </c>
      <c r="E104" s="20">
        <v>0.11</v>
      </c>
    </row>
    <row r="105" spans="1:5" x14ac:dyDescent="0.25">
      <c r="A105" s="14" t="s">
        <v>107</v>
      </c>
      <c r="B105" s="19">
        <f t="shared" si="1"/>
        <v>42224</v>
      </c>
      <c r="C105" s="20">
        <v>0.01</v>
      </c>
      <c r="D105" s="20">
        <v>0.15</v>
      </c>
      <c r="E105" s="20">
        <v>0.19</v>
      </c>
    </row>
    <row r="106" spans="1:5" x14ac:dyDescent="0.25">
      <c r="A106" s="14" t="s">
        <v>108</v>
      </c>
      <c r="B106" s="19">
        <f t="shared" si="1"/>
        <v>42225</v>
      </c>
      <c r="C106" s="20">
        <v>0</v>
      </c>
      <c r="D106" s="20">
        <v>0.2</v>
      </c>
      <c r="E106" s="20">
        <v>0.23</v>
      </c>
    </row>
    <row r="107" spans="1:5" x14ac:dyDescent="0.25">
      <c r="A107" s="14" t="s">
        <v>109</v>
      </c>
      <c r="B107" s="19">
        <f t="shared" si="1"/>
        <v>42226</v>
      </c>
      <c r="C107" s="20">
        <v>0</v>
      </c>
      <c r="D107" s="20">
        <v>0.16</v>
      </c>
      <c r="E107" s="20">
        <v>0.19</v>
      </c>
    </row>
    <row r="108" spans="1:5" x14ac:dyDescent="0.25">
      <c r="A108" s="14" t="s">
        <v>110</v>
      </c>
      <c r="B108" s="19">
        <f t="shared" si="1"/>
        <v>42227</v>
      </c>
      <c r="C108" s="20">
        <v>0.2</v>
      </c>
      <c r="D108" s="20">
        <v>0.2</v>
      </c>
      <c r="E108" s="20">
        <v>0.24</v>
      </c>
    </row>
    <row r="109" spans="1:5" x14ac:dyDescent="0.25">
      <c r="A109" s="14" t="s">
        <v>111</v>
      </c>
      <c r="B109" s="19">
        <f t="shared" si="1"/>
        <v>42228</v>
      </c>
      <c r="C109" s="20">
        <v>0</v>
      </c>
      <c r="D109" s="20">
        <v>0.18</v>
      </c>
      <c r="E109" s="20">
        <v>0.22</v>
      </c>
    </row>
    <row r="110" spans="1:5" x14ac:dyDescent="0.25">
      <c r="A110" s="14" t="s">
        <v>112</v>
      </c>
      <c r="B110" s="19">
        <f t="shared" si="1"/>
        <v>42229</v>
      </c>
      <c r="C110" s="20">
        <v>0</v>
      </c>
      <c r="D110" s="20">
        <v>0.21</v>
      </c>
      <c r="E110" s="20">
        <v>0.24</v>
      </c>
    </row>
    <row r="111" spans="1:5" x14ac:dyDescent="0.25">
      <c r="A111" s="14" t="s">
        <v>113</v>
      </c>
      <c r="B111" s="19">
        <f t="shared" si="1"/>
        <v>42230</v>
      </c>
      <c r="C111" s="20">
        <v>0</v>
      </c>
      <c r="D111" s="20">
        <v>0.21</v>
      </c>
      <c r="E111" s="20">
        <v>0.26</v>
      </c>
    </row>
    <row r="112" spans="1:5" x14ac:dyDescent="0.25">
      <c r="A112" s="14" t="s">
        <v>114</v>
      </c>
      <c r="B112" s="19">
        <f t="shared" si="1"/>
        <v>42231</v>
      </c>
      <c r="C112" s="20">
        <v>0.02</v>
      </c>
      <c r="D112" s="20">
        <v>0.2</v>
      </c>
      <c r="E112" s="20">
        <v>0.24</v>
      </c>
    </row>
    <row r="113" spans="1:5" x14ac:dyDescent="0.25">
      <c r="A113" s="14" t="s">
        <v>115</v>
      </c>
      <c r="B113" s="19">
        <f t="shared" si="1"/>
        <v>42232</v>
      </c>
      <c r="C113" s="20">
        <v>0</v>
      </c>
      <c r="D113" s="20">
        <v>0.18</v>
      </c>
      <c r="E113" s="20">
        <v>0.21</v>
      </c>
    </row>
    <row r="114" spans="1:5" x14ac:dyDescent="0.25">
      <c r="A114" s="14" t="s">
        <v>116</v>
      </c>
      <c r="B114" s="19">
        <f t="shared" si="1"/>
        <v>42233</v>
      </c>
      <c r="C114" s="20">
        <v>0</v>
      </c>
      <c r="D114" s="20">
        <v>0.2</v>
      </c>
      <c r="E114" s="20">
        <v>0.25</v>
      </c>
    </row>
    <row r="115" spans="1:5" x14ac:dyDescent="0.25">
      <c r="A115" s="14" t="s">
        <v>117</v>
      </c>
      <c r="B115" s="19">
        <f t="shared" si="1"/>
        <v>42234</v>
      </c>
      <c r="C115" s="20">
        <v>0</v>
      </c>
      <c r="D115" s="20">
        <v>0.19</v>
      </c>
      <c r="E115" s="20">
        <v>0.23</v>
      </c>
    </row>
    <row r="116" spans="1:5" x14ac:dyDescent="0.25">
      <c r="A116" s="14" t="s">
        <v>118</v>
      </c>
      <c r="B116" s="19">
        <f t="shared" si="1"/>
        <v>42235</v>
      </c>
      <c r="C116" s="20">
        <v>0</v>
      </c>
      <c r="D116" s="20">
        <v>0.18</v>
      </c>
      <c r="E116" s="20">
        <v>0.21</v>
      </c>
    </row>
    <row r="117" spans="1:5" x14ac:dyDescent="0.25">
      <c r="A117" s="14" t="s">
        <v>119</v>
      </c>
      <c r="B117" s="19">
        <f t="shared" si="1"/>
        <v>42236</v>
      </c>
      <c r="C117" s="20">
        <v>0</v>
      </c>
      <c r="D117" s="20">
        <v>0.18</v>
      </c>
      <c r="E117" s="20">
        <v>0.22</v>
      </c>
    </row>
    <row r="118" spans="1:5" x14ac:dyDescent="0.25">
      <c r="A118" s="14" t="s">
        <v>120</v>
      </c>
      <c r="B118" s="19">
        <f t="shared" si="1"/>
        <v>42237</v>
      </c>
      <c r="C118" s="20">
        <v>0</v>
      </c>
      <c r="D118" s="20">
        <v>0.21</v>
      </c>
      <c r="E118" s="20">
        <v>0.27</v>
      </c>
    </row>
    <row r="119" spans="1:5" x14ac:dyDescent="0.25">
      <c r="A119" s="14" t="s">
        <v>121</v>
      </c>
      <c r="B119" s="19">
        <f t="shared" si="1"/>
        <v>42238</v>
      </c>
      <c r="C119" s="20">
        <v>0</v>
      </c>
      <c r="D119" s="20">
        <v>0.18</v>
      </c>
      <c r="E119" s="20">
        <v>0.22</v>
      </c>
    </row>
    <row r="120" spans="1:5" x14ac:dyDescent="0.25">
      <c r="A120" s="14" t="s">
        <v>122</v>
      </c>
      <c r="B120" s="19">
        <f t="shared" si="1"/>
        <v>42239</v>
      </c>
      <c r="C120" s="20">
        <v>0</v>
      </c>
      <c r="D120" s="20">
        <v>0.18</v>
      </c>
      <c r="E120" s="20">
        <v>0.21</v>
      </c>
    </row>
    <row r="121" spans="1:5" x14ac:dyDescent="0.25">
      <c r="A121" s="14" t="s">
        <v>123</v>
      </c>
      <c r="B121" s="19">
        <f t="shared" si="1"/>
        <v>42240</v>
      </c>
      <c r="C121" s="20">
        <v>0</v>
      </c>
      <c r="D121" s="20">
        <v>0.19</v>
      </c>
      <c r="E121" s="20">
        <v>0.23</v>
      </c>
    </row>
    <row r="122" spans="1:5" x14ac:dyDescent="0.25">
      <c r="A122" s="14" t="s">
        <v>124</v>
      </c>
      <c r="B122" s="19">
        <f t="shared" si="1"/>
        <v>42241</v>
      </c>
      <c r="C122" s="20">
        <v>0</v>
      </c>
      <c r="D122" s="20">
        <v>0.2</v>
      </c>
      <c r="E122" s="20">
        <v>0.24</v>
      </c>
    </row>
    <row r="123" spans="1:5" x14ac:dyDescent="0.25">
      <c r="A123" s="14" t="s">
        <v>125</v>
      </c>
      <c r="B123" s="19">
        <f t="shared" si="1"/>
        <v>42242</v>
      </c>
      <c r="C123" s="20">
        <v>0.01</v>
      </c>
      <c r="D123" s="20">
        <v>0.08</v>
      </c>
      <c r="E123" s="20">
        <v>0.1</v>
      </c>
    </row>
    <row r="124" spans="1:5" x14ac:dyDescent="0.25">
      <c r="A124" s="14" t="s">
        <v>126</v>
      </c>
      <c r="B124" s="19">
        <f t="shared" si="1"/>
        <v>42243</v>
      </c>
      <c r="C124" s="20">
        <v>0</v>
      </c>
      <c r="D124" s="20">
        <v>0.18</v>
      </c>
      <c r="E124" s="20">
        <v>0.2</v>
      </c>
    </row>
    <row r="125" spans="1:5" x14ac:dyDescent="0.25">
      <c r="A125" s="14" t="s">
        <v>127</v>
      </c>
      <c r="B125" s="19">
        <f t="shared" si="1"/>
        <v>42244</v>
      </c>
      <c r="C125" s="20">
        <v>0</v>
      </c>
      <c r="D125" s="20">
        <v>0.18</v>
      </c>
      <c r="E125" s="20">
        <v>0.21</v>
      </c>
    </row>
    <row r="126" spans="1:5" x14ac:dyDescent="0.25">
      <c r="A126" s="14" t="s">
        <v>128</v>
      </c>
      <c r="B126" s="19">
        <f t="shared" si="1"/>
        <v>42245</v>
      </c>
      <c r="C126" s="20">
        <v>0</v>
      </c>
      <c r="D126" s="20">
        <v>0.19</v>
      </c>
      <c r="E126" s="20">
        <v>0.25</v>
      </c>
    </row>
    <row r="127" spans="1:5" x14ac:dyDescent="0.25">
      <c r="A127" s="14" t="s">
        <v>129</v>
      </c>
      <c r="B127" s="19">
        <f t="shared" si="1"/>
        <v>42246</v>
      </c>
      <c r="C127" s="20">
        <v>0</v>
      </c>
      <c r="D127" s="20">
        <v>0.2</v>
      </c>
      <c r="E127" s="20">
        <v>0.25</v>
      </c>
    </row>
    <row r="128" spans="1:5" x14ac:dyDescent="0.25">
      <c r="A128" s="14" t="s">
        <v>130</v>
      </c>
      <c r="B128" s="19">
        <f t="shared" si="1"/>
        <v>42247</v>
      </c>
      <c r="C128" s="20">
        <v>0</v>
      </c>
      <c r="D128" s="20">
        <v>0.17</v>
      </c>
      <c r="E128" s="20">
        <v>0.21</v>
      </c>
    </row>
    <row r="129" spans="1:5" x14ac:dyDescent="0.25">
      <c r="A129" s="14" t="s">
        <v>131</v>
      </c>
      <c r="B129" s="19">
        <f t="shared" si="1"/>
        <v>42248</v>
      </c>
      <c r="C129" s="20">
        <v>0</v>
      </c>
      <c r="D129" s="20">
        <v>0.18</v>
      </c>
      <c r="E129" s="20">
        <v>0.22</v>
      </c>
    </row>
    <row r="130" spans="1:5" x14ac:dyDescent="0.25">
      <c r="A130" s="14" t="s">
        <v>132</v>
      </c>
      <c r="B130" s="19">
        <f t="shared" si="1"/>
        <v>42249</v>
      </c>
      <c r="C130" s="20">
        <v>0</v>
      </c>
      <c r="D130" s="20">
        <v>0.26</v>
      </c>
      <c r="E130" s="20">
        <v>0.37</v>
      </c>
    </row>
    <row r="131" spans="1:5" x14ac:dyDescent="0.25">
      <c r="A131" s="14" t="s">
        <v>133</v>
      </c>
      <c r="B131" s="19">
        <f t="shared" si="1"/>
        <v>42250</v>
      </c>
      <c r="C131" s="20">
        <v>0</v>
      </c>
      <c r="D131" s="20">
        <v>0.25</v>
      </c>
      <c r="E131" s="20">
        <v>0.35</v>
      </c>
    </row>
    <row r="132" spans="1:5" x14ac:dyDescent="0.25">
      <c r="A132" s="14" t="s">
        <v>134</v>
      </c>
      <c r="B132" s="19">
        <f t="shared" si="1"/>
        <v>42251</v>
      </c>
      <c r="C132" s="20">
        <v>0</v>
      </c>
      <c r="D132" s="20">
        <v>0.22</v>
      </c>
      <c r="E132" s="20">
        <v>0.28999999999999998</v>
      </c>
    </row>
    <row r="133" spans="1:5" x14ac:dyDescent="0.25">
      <c r="A133" s="14" t="s">
        <v>135</v>
      </c>
      <c r="B133" s="19">
        <f t="shared" si="1"/>
        <v>42252</v>
      </c>
      <c r="C133" s="20">
        <v>0</v>
      </c>
      <c r="D133" s="20">
        <v>0.16</v>
      </c>
      <c r="E133" s="20">
        <v>0.2</v>
      </c>
    </row>
    <row r="134" spans="1:5" x14ac:dyDescent="0.25">
      <c r="A134" s="14" t="s">
        <v>136</v>
      </c>
      <c r="B134" s="19">
        <f t="shared" si="1"/>
        <v>42253</v>
      </c>
      <c r="C134" s="20">
        <v>0</v>
      </c>
      <c r="D134" s="20">
        <v>0.13</v>
      </c>
      <c r="E134" s="20">
        <v>0.16</v>
      </c>
    </row>
    <row r="135" spans="1:5" x14ac:dyDescent="0.25">
      <c r="A135" s="14" t="s">
        <v>137</v>
      </c>
      <c r="B135" s="19">
        <f t="shared" si="1"/>
        <v>42254</v>
      </c>
      <c r="C135" s="20">
        <v>0</v>
      </c>
      <c r="D135" s="20">
        <v>0.16</v>
      </c>
      <c r="E135" s="20">
        <v>0.2</v>
      </c>
    </row>
    <row r="136" spans="1:5" x14ac:dyDescent="0.25">
      <c r="A136" s="14" t="s">
        <v>138</v>
      </c>
      <c r="B136" s="19">
        <f t="shared" ref="B136:B158" si="2">INT(A136)</f>
        <v>42255</v>
      </c>
      <c r="C136" s="20">
        <v>0</v>
      </c>
      <c r="D136" s="20">
        <v>0.15</v>
      </c>
      <c r="E136" s="20">
        <v>0.18</v>
      </c>
    </row>
    <row r="137" spans="1:5" x14ac:dyDescent="0.25">
      <c r="A137" s="14" t="s">
        <v>139</v>
      </c>
      <c r="B137" s="19">
        <f t="shared" si="2"/>
        <v>42256</v>
      </c>
      <c r="C137" s="20">
        <v>0</v>
      </c>
      <c r="D137" s="20">
        <v>0.17</v>
      </c>
      <c r="E137" s="20">
        <v>0.2</v>
      </c>
    </row>
    <row r="138" spans="1:5" x14ac:dyDescent="0.25">
      <c r="A138" s="14" t="s">
        <v>140</v>
      </c>
      <c r="B138" s="19">
        <f t="shared" si="2"/>
        <v>42257</v>
      </c>
      <c r="C138" s="20">
        <v>0</v>
      </c>
      <c r="D138" s="20">
        <v>0.16</v>
      </c>
      <c r="E138" s="20">
        <v>0.2</v>
      </c>
    </row>
    <row r="139" spans="1:5" x14ac:dyDescent="0.25">
      <c r="A139" s="14" t="s">
        <v>141</v>
      </c>
      <c r="B139" s="19">
        <f t="shared" si="2"/>
        <v>42258</v>
      </c>
      <c r="C139" s="20">
        <v>0</v>
      </c>
      <c r="D139" s="20">
        <v>0.16</v>
      </c>
      <c r="E139" s="20">
        <v>0.19</v>
      </c>
    </row>
    <row r="140" spans="1:5" x14ac:dyDescent="0.25">
      <c r="A140" s="14" t="s">
        <v>142</v>
      </c>
      <c r="B140" s="19">
        <f t="shared" si="2"/>
        <v>42259</v>
      </c>
      <c r="C140" s="20">
        <v>0</v>
      </c>
      <c r="D140" s="20">
        <v>0.16</v>
      </c>
      <c r="E140" s="20">
        <v>0.19</v>
      </c>
    </row>
    <row r="141" spans="1:5" x14ac:dyDescent="0.25">
      <c r="A141" s="14" t="s">
        <v>143</v>
      </c>
      <c r="B141" s="19">
        <f t="shared" si="2"/>
        <v>42260</v>
      </c>
      <c r="C141" s="20">
        <v>0</v>
      </c>
      <c r="D141" s="20">
        <v>0.13</v>
      </c>
      <c r="E141" s="20">
        <v>0.16</v>
      </c>
    </row>
    <row r="142" spans="1:5" x14ac:dyDescent="0.25">
      <c r="A142" s="14" t="s">
        <v>144</v>
      </c>
      <c r="B142" s="19">
        <f t="shared" si="2"/>
        <v>42261</v>
      </c>
      <c r="C142" s="20">
        <v>0.15</v>
      </c>
      <c r="D142" s="20">
        <v>0.1</v>
      </c>
      <c r="E142" s="20">
        <v>0.13</v>
      </c>
    </row>
    <row r="143" spans="1:5" x14ac:dyDescent="0.25">
      <c r="A143" s="14" t="s">
        <v>145</v>
      </c>
      <c r="B143" s="19">
        <f t="shared" si="2"/>
        <v>42262</v>
      </c>
      <c r="C143" s="20">
        <v>0.09</v>
      </c>
      <c r="D143" s="20">
        <v>7.0000000000000007E-2</v>
      </c>
      <c r="E143" s="20">
        <v>0.09</v>
      </c>
    </row>
    <row r="144" spans="1:5" x14ac:dyDescent="0.25">
      <c r="A144" s="14" t="s">
        <v>146</v>
      </c>
      <c r="B144" s="19">
        <f t="shared" si="2"/>
        <v>42263</v>
      </c>
      <c r="C144" s="20">
        <v>0.98</v>
      </c>
      <c r="D144" s="20">
        <v>0.03</v>
      </c>
      <c r="E144" s="20">
        <v>0.04</v>
      </c>
    </row>
    <row r="145" spans="1:5" x14ac:dyDescent="0.25">
      <c r="A145" s="14" t="s">
        <v>147</v>
      </c>
      <c r="B145" s="19">
        <f t="shared" si="2"/>
        <v>42264</v>
      </c>
      <c r="C145" s="20">
        <v>0</v>
      </c>
      <c r="D145" s="20">
        <v>7.0000000000000007E-2</v>
      </c>
      <c r="E145" s="20">
        <v>0.08</v>
      </c>
    </row>
    <row r="146" spans="1:5" x14ac:dyDescent="0.25">
      <c r="A146" s="14" t="s">
        <v>148</v>
      </c>
      <c r="B146" s="19">
        <f t="shared" si="2"/>
        <v>42265</v>
      </c>
      <c r="C146" s="20">
        <v>0</v>
      </c>
      <c r="D146" s="20">
        <v>0.12</v>
      </c>
      <c r="E146" s="20">
        <v>0.13</v>
      </c>
    </row>
    <row r="147" spans="1:5" x14ac:dyDescent="0.25">
      <c r="A147" s="14" t="s">
        <v>149</v>
      </c>
      <c r="B147" s="19">
        <f t="shared" si="2"/>
        <v>42266</v>
      </c>
      <c r="C147" s="20">
        <v>0</v>
      </c>
      <c r="D147" s="20">
        <v>0.12</v>
      </c>
      <c r="E147" s="20">
        <v>0.14000000000000001</v>
      </c>
    </row>
    <row r="148" spans="1:5" x14ac:dyDescent="0.25">
      <c r="A148" s="14" t="s">
        <v>150</v>
      </c>
      <c r="B148" s="19">
        <f t="shared" si="2"/>
        <v>42267</v>
      </c>
      <c r="C148" s="20">
        <v>0</v>
      </c>
      <c r="D148" s="20">
        <v>0.13</v>
      </c>
      <c r="E148" s="20">
        <v>0.15</v>
      </c>
    </row>
    <row r="149" spans="1:5" x14ac:dyDescent="0.25">
      <c r="A149" s="14" t="s">
        <v>151</v>
      </c>
      <c r="B149" s="19">
        <f t="shared" si="2"/>
        <v>42268</v>
      </c>
      <c r="C149" s="20">
        <v>0</v>
      </c>
      <c r="D149" s="20">
        <v>0.13</v>
      </c>
      <c r="E149" s="20">
        <v>0.15</v>
      </c>
    </row>
    <row r="150" spans="1:5" x14ac:dyDescent="0.25">
      <c r="A150" s="14" t="s">
        <v>152</v>
      </c>
      <c r="B150" s="19">
        <f t="shared" si="2"/>
        <v>42269</v>
      </c>
      <c r="C150" s="20">
        <v>0</v>
      </c>
      <c r="D150" s="20">
        <v>0.13</v>
      </c>
      <c r="E150" s="20">
        <v>0.16</v>
      </c>
    </row>
    <row r="151" spans="1:5" x14ac:dyDescent="0.25">
      <c r="A151" s="14" t="s">
        <v>153</v>
      </c>
      <c r="B151" s="19">
        <f t="shared" si="2"/>
        <v>42270</v>
      </c>
      <c r="C151" s="20">
        <v>0</v>
      </c>
      <c r="D151" s="20">
        <v>0.13</v>
      </c>
      <c r="E151" s="20">
        <v>0.15</v>
      </c>
    </row>
    <row r="152" spans="1:5" x14ac:dyDescent="0.25">
      <c r="A152" s="14" t="s">
        <v>154</v>
      </c>
      <c r="B152" s="19">
        <f t="shared" si="2"/>
        <v>42271</v>
      </c>
      <c r="C152" s="20">
        <v>0</v>
      </c>
      <c r="D152" s="20">
        <v>0.12</v>
      </c>
      <c r="E152" s="20">
        <v>0.15</v>
      </c>
    </row>
    <row r="153" spans="1:5" x14ac:dyDescent="0.25">
      <c r="A153" s="14" t="s">
        <v>155</v>
      </c>
      <c r="B153" s="19">
        <f t="shared" si="2"/>
        <v>42272</v>
      </c>
      <c r="C153" s="20">
        <v>0</v>
      </c>
      <c r="D153" s="20">
        <v>0.13</v>
      </c>
      <c r="E153" s="20">
        <v>0.16</v>
      </c>
    </row>
    <row r="154" spans="1:5" x14ac:dyDescent="0.25">
      <c r="A154" s="14" t="s">
        <v>156</v>
      </c>
      <c r="B154" s="19">
        <f t="shared" si="2"/>
        <v>42273</v>
      </c>
      <c r="C154" s="20">
        <v>0</v>
      </c>
      <c r="D154" s="20">
        <v>0.14000000000000001</v>
      </c>
      <c r="E154" s="20">
        <v>0.18</v>
      </c>
    </row>
    <row r="155" spans="1:5" x14ac:dyDescent="0.25">
      <c r="A155" s="14" t="s">
        <v>157</v>
      </c>
      <c r="B155" s="19">
        <f t="shared" si="2"/>
        <v>42274</v>
      </c>
      <c r="C155" s="20">
        <v>0</v>
      </c>
      <c r="D155" s="20">
        <v>0.14000000000000001</v>
      </c>
      <c r="E155" s="20">
        <v>0.18</v>
      </c>
    </row>
    <row r="156" spans="1:5" x14ac:dyDescent="0.25">
      <c r="A156" s="14" t="s">
        <v>158</v>
      </c>
      <c r="B156" s="19">
        <f t="shared" si="2"/>
        <v>42275</v>
      </c>
      <c r="C156" s="20">
        <v>0</v>
      </c>
      <c r="D156" s="20">
        <v>0.12</v>
      </c>
      <c r="E156" s="20">
        <v>0.15</v>
      </c>
    </row>
    <row r="157" spans="1:5" x14ac:dyDescent="0.25">
      <c r="A157" s="14" t="s">
        <v>159</v>
      </c>
      <c r="B157" s="19">
        <f t="shared" si="2"/>
        <v>42276</v>
      </c>
      <c r="C157" s="20">
        <v>0</v>
      </c>
      <c r="D157" s="20">
        <v>0.13</v>
      </c>
      <c r="E157" s="20">
        <v>0.15</v>
      </c>
    </row>
    <row r="158" spans="1:5" x14ac:dyDescent="0.25">
      <c r="A158" s="14" t="s">
        <v>160</v>
      </c>
      <c r="B158" s="19">
        <f t="shared" si="2"/>
        <v>42277</v>
      </c>
      <c r="C158" s="20">
        <v>0</v>
      </c>
      <c r="D158" s="20">
        <v>0.09</v>
      </c>
      <c r="E158" s="20">
        <v>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U147"/>
  <sheetViews>
    <sheetView tabSelected="1" zoomScale="85" zoomScaleNormal="85" workbookViewId="0">
      <selection activeCell="A4" sqref="A4"/>
    </sheetView>
  </sheetViews>
  <sheetFormatPr defaultRowHeight="15" x14ac:dyDescent="0.25"/>
  <cols>
    <col min="1" max="1" width="21.5703125" customWidth="1"/>
    <col min="2" max="2" width="11.7109375" customWidth="1"/>
    <col min="3" max="4" width="12.7109375" bestFit="1" customWidth="1"/>
    <col min="5" max="5" width="13" style="1" customWidth="1"/>
    <col min="6" max="6" width="12.140625" customWidth="1"/>
    <col min="7" max="7" width="10.85546875" customWidth="1"/>
    <col min="8" max="8" width="9.7109375" bestFit="1" customWidth="1"/>
    <col min="9" max="9" width="12.140625" customWidth="1"/>
    <col min="10" max="11" width="8.28515625" customWidth="1"/>
    <col min="12" max="12" width="12.140625" style="58" customWidth="1"/>
    <col min="13" max="13" width="10.5703125" customWidth="1"/>
    <col min="18" max="18" width="9.5703125" bestFit="1" customWidth="1"/>
    <col min="19" max="20" width="9.28515625" bestFit="1" customWidth="1"/>
    <col min="41" max="41" width="10.5703125" customWidth="1"/>
    <col min="42" max="42" width="10.85546875" customWidth="1"/>
    <col min="53" max="53" width="10" customWidth="1"/>
  </cols>
  <sheetData>
    <row r="1" spans="1:69" ht="18.75" x14ac:dyDescent="0.3">
      <c r="A1" s="171" t="s">
        <v>360</v>
      </c>
      <c r="B1" s="10"/>
      <c r="E1"/>
      <c r="L1" s="5">
        <v>1</v>
      </c>
      <c r="M1" t="s">
        <v>218</v>
      </c>
      <c r="S1" s="5">
        <v>7</v>
      </c>
      <c r="T1" t="s">
        <v>340</v>
      </c>
      <c r="AA1" s="5">
        <v>8</v>
      </c>
      <c r="AB1" t="s">
        <v>219</v>
      </c>
      <c r="AI1" s="5">
        <v>15</v>
      </c>
      <c r="AJ1" t="s">
        <v>279</v>
      </c>
    </row>
    <row r="2" spans="1:69" x14ac:dyDescent="0.25">
      <c r="A2" s="23" t="s">
        <v>176</v>
      </c>
      <c r="B2" s="93" t="s">
        <v>324</v>
      </c>
      <c r="C2" s="11" t="s">
        <v>2</v>
      </c>
      <c r="D2" s="67">
        <v>8184</v>
      </c>
      <c r="E2" t="s">
        <v>337</v>
      </c>
      <c r="F2" s="4">
        <v>0.25</v>
      </c>
      <c r="L2" s="5">
        <v>2</v>
      </c>
      <c r="M2" t="s">
        <v>225</v>
      </c>
      <c r="S2" s="5">
        <v>8</v>
      </c>
      <c r="T2" t="s">
        <v>347</v>
      </c>
      <c r="AA2" s="5">
        <v>9</v>
      </c>
      <c r="AB2" t="s">
        <v>216</v>
      </c>
      <c r="AI2" s="5">
        <v>16</v>
      </c>
      <c r="AJ2" t="s">
        <v>293</v>
      </c>
    </row>
    <row r="3" spans="1:69" x14ac:dyDescent="0.25">
      <c r="A3" t="s">
        <v>177</v>
      </c>
      <c r="B3" s="4">
        <v>1.08</v>
      </c>
      <c r="C3" t="s">
        <v>273</v>
      </c>
      <c r="D3" s="67">
        <f>D2/43560</f>
        <v>0.18787878787878787</v>
      </c>
      <c r="E3" t="s">
        <v>338</v>
      </c>
      <c r="F3" s="4">
        <v>2</v>
      </c>
      <c r="L3" s="5">
        <v>3</v>
      </c>
      <c r="M3" t="s">
        <v>222</v>
      </c>
      <c r="S3" s="5">
        <v>9</v>
      </c>
      <c r="T3" t="s">
        <v>342</v>
      </c>
      <c r="AA3" s="5">
        <v>10</v>
      </c>
      <c r="AB3" t="s">
        <v>221</v>
      </c>
      <c r="AI3" s="5">
        <v>17</v>
      </c>
      <c r="AJ3" t="s">
        <v>276</v>
      </c>
    </row>
    <row r="4" spans="1:69" x14ac:dyDescent="0.25">
      <c r="A4" t="s">
        <v>272</v>
      </c>
      <c r="B4" s="66">
        <v>0.3</v>
      </c>
      <c r="D4" s="8"/>
      <c r="E4"/>
      <c r="L4" s="5">
        <v>4</v>
      </c>
      <c r="M4" t="s">
        <v>277</v>
      </c>
      <c r="S4" s="5">
        <v>10</v>
      </c>
      <c r="T4" t="s">
        <v>346</v>
      </c>
      <c r="AA4" s="5">
        <v>11</v>
      </c>
      <c r="AB4" t="s">
        <v>220</v>
      </c>
      <c r="AI4" s="5">
        <v>18</v>
      </c>
      <c r="AJ4" t="s">
        <v>282</v>
      </c>
    </row>
    <row r="5" spans="1:69" x14ac:dyDescent="0.25">
      <c r="A5" t="s">
        <v>178</v>
      </c>
      <c r="B5" s="67">
        <v>0.25</v>
      </c>
      <c r="E5"/>
      <c r="L5" s="5">
        <v>5</v>
      </c>
      <c r="M5" t="s">
        <v>217</v>
      </c>
      <c r="AA5" s="5">
        <v>12</v>
      </c>
      <c r="AB5" t="s">
        <v>331</v>
      </c>
      <c r="AI5" s="5">
        <v>19</v>
      </c>
      <c r="AJ5" t="s">
        <v>274</v>
      </c>
    </row>
    <row r="6" spans="1:69" x14ac:dyDescent="0.25">
      <c r="A6" t="s">
        <v>179</v>
      </c>
      <c r="B6" s="25">
        <f>B5*B3</f>
        <v>0.27</v>
      </c>
      <c r="D6" s="8"/>
      <c r="E6"/>
      <c r="L6" s="5">
        <v>6</v>
      </c>
      <c r="M6" t="s">
        <v>283</v>
      </c>
      <c r="AA6" s="5">
        <v>13</v>
      </c>
      <c r="AB6" t="s">
        <v>290</v>
      </c>
      <c r="AI6" s="5">
        <v>20</v>
      </c>
      <c r="AJ6" t="s">
        <v>281</v>
      </c>
    </row>
    <row r="7" spans="1:69" x14ac:dyDescent="0.25">
      <c r="A7" t="s">
        <v>180</v>
      </c>
      <c r="B7" s="4">
        <v>2</v>
      </c>
      <c r="D7" s="8"/>
      <c r="E7"/>
      <c r="L7"/>
      <c r="AA7" s="5">
        <v>14</v>
      </c>
      <c r="AB7" t="s">
        <v>291</v>
      </c>
    </row>
    <row r="8" spans="1:69" x14ac:dyDescent="0.25">
      <c r="D8" s="8"/>
      <c r="E8"/>
      <c r="N8" s="165" t="s">
        <v>161</v>
      </c>
      <c r="O8" s="165"/>
      <c r="P8" s="165"/>
      <c r="Q8" s="165"/>
      <c r="R8" s="165"/>
      <c r="S8" s="165"/>
      <c r="T8" s="165"/>
      <c r="U8" s="166" t="s">
        <v>162</v>
      </c>
      <c r="V8" s="166"/>
      <c r="W8" s="166"/>
      <c r="X8" s="71" t="s">
        <v>169</v>
      </c>
      <c r="Y8" s="168" t="s">
        <v>294</v>
      </c>
      <c r="Z8" s="169"/>
      <c r="AA8" s="169"/>
      <c r="AB8" s="169"/>
      <c r="AC8" s="169"/>
      <c r="AD8" s="170"/>
      <c r="AE8" s="167" t="s">
        <v>172</v>
      </c>
      <c r="AF8" s="167"/>
      <c r="AG8" s="167"/>
      <c r="AH8" s="162" t="s">
        <v>192</v>
      </c>
      <c r="AI8" s="163"/>
      <c r="AJ8" s="163"/>
      <c r="AK8" s="163"/>
      <c r="AL8" s="163"/>
      <c r="AM8" s="163"/>
      <c r="AN8" s="163"/>
      <c r="AO8" s="163"/>
      <c r="AP8" s="163"/>
      <c r="AQ8" s="163"/>
      <c r="AR8" s="163"/>
      <c r="AS8" s="163"/>
      <c r="AT8" s="163"/>
      <c r="AU8" s="163"/>
      <c r="AV8" s="163"/>
      <c r="AW8" s="163"/>
      <c r="AX8" s="163"/>
      <c r="AY8" s="163"/>
      <c r="AZ8" s="163"/>
      <c r="BA8" s="163"/>
      <c r="BB8" s="164"/>
    </row>
    <row r="9" spans="1:69" s="2" customFormat="1" ht="90" x14ac:dyDescent="0.25">
      <c r="A9" t="s">
        <v>350</v>
      </c>
      <c r="B9" t="s">
        <v>353</v>
      </c>
      <c r="D9" t="s">
        <v>353</v>
      </c>
      <c r="E9"/>
      <c r="F9"/>
      <c r="K9"/>
      <c r="L9" s="89" t="s">
        <v>223</v>
      </c>
      <c r="M9" s="63" t="s">
        <v>224</v>
      </c>
      <c r="N9" s="61" t="s">
        <v>1</v>
      </c>
      <c r="O9" s="34" t="s">
        <v>181</v>
      </c>
      <c r="P9" s="34" t="s">
        <v>0</v>
      </c>
      <c r="Q9" s="34" t="s">
        <v>359</v>
      </c>
      <c r="R9" s="34" t="s">
        <v>165</v>
      </c>
      <c r="S9" s="34" t="s">
        <v>163</v>
      </c>
      <c r="T9" s="34" t="s">
        <v>164</v>
      </c>
      <c r="U9" s="35" t="s">
        <v>168</v>
      </c>
      <c r="V9" s="36" t="s">
        <v>167</v>
      </c>
      <c r="W9" s="35" t="s">
        <v>173</v>
      </c>
      <c r="X9" s="72" t="s">
        <v>174</v>
      </c>
      <c r="Y9" s="69" t="s">
        <v>170</v>
      </c>
      <c r="Z9" s="69" t="s">
        <v>288</v>
      </c>
      <c r="AA9" s="69" t="s">
        <v>286</v>
      </c>
      <c r="AB9" s="69" t="s">
        <v>341</v>
      </c>
      <c r="AC9" s="69" t="s">
        <v>210</v>
      </c>
      <c r="AD9" s="69" t="s">
        <v>280</v>
      </c>
      <c r="AE9" s="22" t="s">
        <v>209</v>
      </c>
      <c r="AF9" s="65" t="s">
        <v>214</v>
      </c>
      <c r="AG9" s="22" t="s">
        <v>175</v>
      </c>
      <c r="AH9" s="56" t="s">
        <v>336</v>
      </c>
      <c r="AI9" s="56" t="s">
        <v>339</v>
      </c>
      <c r="AJ9" s="56"/>
      <c r="AK9" s="26" t="s">
        <v>207</v>
      </c>
      <c r="AL9" s="26" t="s">
        <v>357</v>
      </c>
      <c r="AM9" s="26" t="s">
        <v>208</v>
      </c>
      <c r="AN9" s="26" t="s">
        <v>215</v>
      </c>
      <c r="AO9" s="56" t="s">
        <v>211</v>
      </c>
      <c r="AP9" s="56" t="s">
        <v>212</v>
      </c>
      <c r="AQ9" s="56" t="s">
        <v>213</v>
      </c>
      <c r="AR9" s="29" t="s">
        <v>182</v>
      </c>
      <c r="AS9" s="29" t="s">
        <v>183</v>
      </c>
      <c r="AT9" s="30" t="s">
        <v>184</v>
      </c>
      <c r="AU9" s="56" t="s">
        <v>185</v>
      </c>
      <c r="AV9" s="56" t="s">
        <v>358</v>
      </c>
      <c r="AW9" s="50" t="s">
        <v>186</v>
      </c>
      <c r="AX9" s="56" t="s">
        <v>187</v>
      </c>
      <c r="AY9" s="53" t="s">
        <v>188</v>
      </c>
      <c r="AZ9" s="31" t="s">
        <v>189</v>
      </c>
      <c r="BA9" s="26" t="s">
        <v>190</v>
      </c>
      <c r="BB9" s="26" t="s">
        <v>191</v>
      </c>
    </row>
    <row r="10" spans="1:69" s="2" customFormat="1" x14ac:dyDescent="0.25">
      <c r="E10"/>
      <c r="F10"/>
      <c r="K10"/>
      <c r="L10" s="90"/>
      <c r="M10" s="60"/>
      <c r="N10" s="61"/>
      <c r="O10" s="34"/>
      <c r="P10" s="34"/>
      <c r="Q10" s="34"/>
      <c r="R10" s="34"/>
      <c r="S10" s="34"/>
      <c r="T10" s="34"/>
      <c r="U10" s="35"/>
      <c r="V10" s="36"/>
      <c r="W10" s="35"/>
      <c r="X10" s="72"/>
      <c r="Y10" s="69"/>
      <c r="Z10" s="69"/>
      <c r="AA10" s="69"/>
      <c r="AB10" s="69"/>
      <c r="AC10" s="69"/>
      <c r="AD10" s="69"/>
      <c r="AE10" s="22"/>
      <c r="AF10" s="22"/>
      <c r="AG10" s="22"/>
      <c r="AH10" s="56"/>
      <c r="AI10" s="27">
        <f>IF(AH10*($F$3-$F$2)+$F$2&lt;$F$3,AH10*($F$3-$F$2)+$F$2,$F$3)</f>
        <v>0.25</v>
      </c>
      <c r="AJ10" s="54"/>
      <c r="AK10" s="54">
        <f>AI10*$B$3</f>
        <v>0.27</v>
      </c>
      <c r="AL10" s="54"/>
      <c r="AM10" s="27">
        <f>AK10*$B$4</f>
        <v>8.1000000000000003E-2</v>
      </c>
      <c r="AN10" s="40">
        <f>AK10-AM10</f>
        <v>0.189</v>
      </c>
      <c r="AO10" s="29"/>
      <c r="AP10" s="78">
        <f>0*AK10</f>
        <v>0</v>
      </c>
      <c r="AQ10" s="27">
        <f t="shared" ref="AQ10:AQ24" si="0">AK10-AP10</f>
        <v>0.27</v>
      </c>
      <c r="AR10" s="29"/>
      <c r="AS10" s="29"/>
      <c r="AT10" s="30"/>
      <c r="AU10" s="56"/>
      <c r="AV10" s="155"/>
      <c r="AW10" s="50"/>
      <c r="AX10" s="56"/>
      <c r="AY10" s="53"/>
      <c r="AZ10" s="31"/>
      <c r="BA10" s="26"/>
      <c r="BB10" s="26"/>
    </row>
    <row r="11" spans="1:69" x14ac:dyDescent="0.25">
      <c r="A11" s="18">
        <v>42156</v>
      </c>
      <c r="B11" s="2">
        <v>5940.0000000000009</v>
      </c>
      <c r="D11" s="154">
        <v>42156</v>
      </c>
      <c r="E11" s="58">
        <f>B11</f>
        <v>5940.0000000000009</v>
      </c>
      <c r="L11" s="83">
        <f>E11</f>
        <v>5940.0000000000009</v>
      </c>
      <c r="M11" s="68"/>
      <c r="N11" s="62">
        <v>42156</v>
      </c>
      <c r="O11" s="37">
        <f>L11</f>
        <v>5940.0000000000009</v>
      </c>
      <c r="P11" s="85">
        <f>(O11/$D$2)*12</f>
        <v>8.7096774193548399</v>
      </c>
      <c r="Q11" s="85">
        <f>P11*25.4</f>
        <v>221.22580645161293</v>
      </c>
      <c r="R11" s="84">
        <f>O11</f>
        <v>5940.0000000000009</v>
      </c>
      <c r="S11" s="86">
        <f>R11/43560</f>
        <v>0.13636363636363638</v>
      </c>
      <c r="T11" s="85">
        <f>(S11*12)/$D$3</f>
        <v>8.7096774193548416</v>
      </c>
      <c r="U11" s="88">
        <f>LOOKUP(N11,'weather data'!$B$7:$B$158,'weather data'!$C$7:$C$158)</f>
        <v>0</v>
      </c>
      <c r="V11" s="88">
        <f>IF(U11&lt;0.05,0,0.8*U11)</f>
        <v>0</v>
      </c>
      <c r="W11" s="88">
        <f>V11</f>
        <v>0</v>
      </c>
      <c r="X11" s="79">
        <f>LOOKUP(N11,'weather data'!$B$7:$B$158,'weather data'!$E$7:$E$158)</f>
        <v>0.19</v>
      </c>
      <c r="Y11" s="6">
        <v>1</v>
      </c>
      <c r="Z11" s="6">
        <v>1</v>
      </c>
      <c r="AA11" s="95">
        <f t="shared" ref="AA11:AA42" si="1">Z11*160/$Z$131</f>
        <v>1.3223140495867769</v>
      </c>
      <c r="AB11" s="94">
        <f ca="1">FORECAST(AA11,OFFSET(Soils!$K$41:$K$57,MATCH(AA11,Soils!$J$41:$J$57,1)-1,0,2),OFFSET(Soils!$J$41:$J$57,MATCH(AA11,Soils!$J$41:$J$57,1)-1,0,2))</f>
        <v>0.25</v>
      </c>
      <c r="AC11" s="92">
        <f t="shared" ref="AC11:AC24" ca="1" si="2">IF(AO11&lt;=AM11,1,(AK11-AO11)/(AK11-AM11))</f>
        <v>1</v>
      </c>
      <c r="AD11" s="92">
        <f ca="1">AB11*AC11</f>
        <v>0.25</v>
      </c>
      <c r="AE11" s="87">
        <f ca="1">X11*AB11</f>
        <v>4.7500000000000001E-2</v>
      </c>
      <c r="AF11" s="87">
        <f ca="1">AC11*AE11</f>
        <v>4.7500000000000001E-2</v>
      </c>
      <c r="AG11" s="87">
        <f ca="1">AF11</f>
        <v>4.7500000000000001E-2</v>
      </c>
      <c r="AH11" s="56">
        <f ca="1">FORECAST(AA11,OFFSET(Soils!$L$41:$L$57,MATCH(AA11,Soils!$J$41:$J$57,1)-1,0,2),OFFSET(Soils!$J$41:$J$57,MATCH(AA11,Soils!$J$41:$J$57,1)-1,0,2))</f>
        <v>0</v>
      </c>
      <c r="AI11" s="27">
        <f t="shared" ref="AI11:AI74" ca="1" si="3">IF(AH11*($F$3-$F$2)+$F$2&lt;$F$3,AH11*($F$3-$F$2)+$F$2,$F$3)</f>
        <v>0.25</v>
      </c>
      <c r="AJ11" s="54"/>
      <c r="AK11" s="54">
        <f t="shared" ref="AK11:AK74" ca="1" si="4">AI11*$B$3</f>
        <v>0.27</v>
      </c>
      <c r="AL11" s="54">
        <f ca="1">AK11*25.4</f>
        <v>6.8579999999999997</v>
      </c>
      <c r="AM11" s="27">
        <f ca="1">AK11*$B$4</f>
        <v>8.1000000000000003E-2</v>
      </c>
      <c r="AN11" s="40">
        <f t="shared" ref="AN11:AN24" ca="1" si="5">AK11-AM11</f>
        <v>0.189</v>
      </c>
      <c r="AO11" s="27">
        <f>AP10</f>
        <v>0</v>
      </c>
      <c r="AP11" s="98">
        <f t="shared" ref="AP11:AP42" ca="1" si="6">IF(AO11+AF11-P11-V11&lt;0,0,AO11+AF11-P11-V11)</f>
        <v>0</v>
      </c>
      <c r="AQ11" s="27">
        <f t="shared" ca="1" si="0"/>
        <v>0.27</v>
      </c>
      <c r="AR11" s="27">
        <f t="shared" ref="AR11:AR24" ca="1" si="7">IF(AE11=0,"",AF11/AE11)</f>
        <v>1</v>
      </c>
      <c r="AS11" s="27">
        <f t="shared" ref="AS11:AS42" ca="1" si="8">IF(P11+V11-AF11&gt;AO11,P11+V11-AF11-AO11,0)</f>
        <v>8.6621774193548404</v>
      </c>
      <c r="AT11" s="28">
        <f ca="1">AS11</f>
        <v>8.6621774193548404</v>
      </c>
      <c r="AU11" s="27">
        <f t="shared" ref="AU11:AU75" ca="1" si="9">IF(AND(P11&lt;&gt;0,AS11&lt;&gt;0,V11&lt;&gt;0),P11*AS11/(P11+V11),IF(AND(P11&lt;&gt;0,AS11&lt;&gt;0),AS11,0))</f>
        <v>8.6621774193548404</v>
      </c>
      <c r="AV11" s="51">
        <f ca="1">AU11*25.4</f>
        <v>220.01930645161295</v>
      </c>
      <c r="AW11" s="51">
        <f ca="1">AU11</f>
        <v>8.6621774193548404</v>
      </c>
      <c r="AX11" s="27">
        <f ca="1">IF(AND(P11&lt;&gt;0,AS11&lt;&gt;0,V11&lt;&gt;0),V11*AS11/(P11+V11),IF(AND(V11&lt;&gt;0,AS11&lt;&gt;0),AS11,0))</f>
        <v>0</v>
      </c>
      <c r="AY11" s="54">
        <f ca="1">AX11</f>
        <v>0</v>
      </c>
      <c r="AZ11" s="91">
        <f>P11+V11</f>
        <v>8.7096774193548399</v>
      </c>
      <c r="BA11" s="33">
        <f t="shared" ref="BA11:BA42" ca="1" si="10">P11+V11-AS11</f>
        <v>4.7499999999999432E-2</v>
      </c>
      <c r="BB11" s="33">
        <f ca="1">BA11</f>
        <v>4.7499999999999432E-2</v>
      </c>
    </row>
    <row r="12" spans="1:69" x14ac:dyDescent="0.25">
      <c r="A12" s="18">
        <v>42158</v>
      </c>
      <c r="B12">
        <v>3901.823257485074</v>
      </c>
      <c r="D12" s="154">
        <v>42157</v>
      </c>
      <c r="E12" s="58">
        <v>0</v>
      </c>
      <c r="L12" s="83">
        <f t="shared" ref="L12:L75" si="11">E12</f>
        <v>0</v>
      </c>
      <c r="M12" s="68"/>
      <c r="N12" s="62">
        <v>42157</v>
      </c>
      <c r="O12" s="37">
        <f t="shared" ref="O12:O75" si="12">L12</f>
        <v>0</v>
      </c>
      <c r="P12" s="85">
        <f t="shared" ref="P12:P75" si="13">(O12/$D$2)*12</f>
        <v>0</v>
      </c>
      <c r="Q12" s="85">
        <f t="shared" ref="Q12:Q75" si="14">P12*25.4</f>
        <v>0</v>
      </c>
      <c r="R12" s="84">
        <f>O12+R11</f>
        <v>5940.0000000000009</v>
      </c>
      <c r="S12" s="86">
        <f t="shared" ref="S12:S75" si="15">R12/43560</f>
        <v>0.13636363636363638</v>
      </c>
      <c r="T12" s="85">
        <f t="shared" ref="T12:T75" si="16">(S12*12)/$D$3</f>
        <v>8.7096774193548416</v>
      </c>
      <c r="U12" s="88">
        <f>LOOKUP(N12,'weather data'!$B$7:$B$158,'weather data'!$C$7:$C$158)</f>
        <v>0</v>
      </c>
      <c r="V12" s="88">
        <f t="shared" ref="V12:V75" si="17">IF(U12&lt;0.05,0,0.8*U12)</f>
        <v>0</v>
      </c>
      <c r="W12" s="88">
        <f>V12+W11</f>
        <v>0</v>
      </c>
      <c r="X12" s="79">
        <f>LOOKUP(N12,'weather data'!$B$7:$B$158,'weather data'!$E$7:$E$158)</f>
        <v>0.13</v>
      </c>
      <c r="Y12" s="6">
        <v>1</v>
      </c>
      <c r="Z12" s="6">
        <v>2</v>
      </c>
      <c r="AA12" s="95">
        <f t="shared" si="1"/>
        <v>2.6446280991735538</v>
      </c>
      <c r="AB12" s="94">
        <f ca="1">FORECAST(AA12,OFFSET(Soils!$K$41:$K$57,MATCH(AA12,Soils!$J$41:$J$57,1)-1,0,2),OFFSET(Soils!$J$41:$J$57,MATCH(AA12,Soils!$J$41:$J$57,1)-1,0,2))</f>
        <v>0.25</v>
      </c>
      <c r="AC12" s="92">
        <f t="shared" ca="1" si="2"/>
        <v>1</v>
      </c>
      <c r="AD12" s="92">
        <f t="shared" ref="AD12:AD75" ca="1" si="18">AB12*AC12</f>
        <v>0.25</v>
      </c>
      <c r="AE12" s="87">
        <f t="shared" ref="AE12:AE75" ca="1" si="19">X12*AB12</f>
        <v>3.2500000000000001E-2</v>
      </c>
      <c r="AF12" s="87">
        <f t="shared" ref="AF12:AF24" ca="1" si="20">AC12*AE12</f>
        <v>3.2500000000000001E-2</v>
      </c>
      <c r="AG12" s="87">
        <f ca="1">AF12+AG11</f>
        <v>0.08</v>
      </c>
      <c r="AH12" s="56">
        <f ca="1">FORECAST(AA12,OFFSET(Soils!$L$41:$L$57,MATCH(AA12,Soils!$J$41:$J$57,1)-1,0,2),OFFSET(Soils!$J$41:$J$57,MATCH(AA12,Soils!$J$41:$J$57,1)-1,0,2))</f>
        <v>0</v>
      </c>
      <c r="AI12" s="27">
        <f t="shared" ca="1" si="3"/>
        <v>0.25</v>
      </c>
      <c r="AJ12" s="54"/>
      <c r="AK12" s="54">
        <f t="shared" ca="1" si="4"/>
        <v>0.27</v>
      </c>
      <c r="AL12" s="54">
        <f t="shared" ref="AL12:AL75" ca="1" si="21">AK12*25.4</f>
        <v>6.8579999999999997</v>
      </c>
      <c r="AM12" s="27">
        <f t="shared" ref="AM12:AM24" ca="1" si="22">AK12*$B$4</f>
        <v>8.1000000000000003E-2</v>
      </c>
      <c r="AN12" s="40">
        <f t="shared" ca="1" si="5"/>
        <v>0.189</v>
      </c>
      <c r="AO12" s="27">
        <f t="shared" ref="AO12:AO24" ca="1" si="23">AP11</f>
        <v>0</v>
      </c>
      <c r="AP12" s="27">
        <f t="shared" ca="1" si="6"/>
        <v>3.2500000000000001E-2</v>
      </c>
      <c r="AQ12" s="27">
        <f t="shared" ca="1" si="0"/>
        <v>0.23750000000000002</v>
      </c>
      <c r="AR12" s="27">
        <f t="shared" ca="1" si="7"/>
        <v>1</v>
      </c>
      <c r="AS12" s="27">
        <f t="shared" ca="1" si="8"/>
        <v>0</v>
      </c>
      <c r="AT12" s="28">
        <f ca="1">AS12+AT11</f>
        <v>8.6621774193548404</v>
      </c>
      <c r="AU12" s="27">
        <f t="shared" ca="1" si="9"/>
        <v>0</v>
      </c>
      <c r="AV12" s="51">
        <f t="shared" ref="AV12:AV75" ca="1" si="24">AU12*25.4</f>
        <v>0</v>
      </c>
      <c r="AW12" s="51">
        <f ca="1">AU12+AW11</f>
        <v>8.6621774193548404</v>
      </c>
      <c r="AX12" s="27">
        <f t="shared" ref="AX12:AX75" ca="1" si="25">IF(AND(P12&lt;&gt;0,AS12&lt;&gt;0,V12&lt;&gt;0),V12*AS12/(P12+V12),IF(AND(V12&lt;&gt;0,AS12&lt;&gt;0),AS12,0))</f>
        <v>0</v>
      </c>
      <c r="AY12" s="54">
        <f ca="1">AX12+AY11</f>
        <v>0</v>
      </c>
      <c r="AZ12" s="91">
        <f t="shared" ref="AZ12:AZ43" si="26">P12+V12+AZ11</f>
        <v>8.7096774193548399</v>
      </c>
      <c r="BA12" s="33">
        <f t="shared" ca="1" si="10"/>
        <v>0</v>
      </c>
      <c r="BB12" s="33">
        <f ca="1">BA12+BB11</f>
        <v>4.7499999999999432E-2</v>
      </c>
    </row>
    <row r="13" spans="1:69" x14ac:dyDescent="0.25">
      <c r="A13" s="18">
        <v>42163</v>
      </c>
      <c r="B13">
        <v>5422.1697001483444</v>
      </c>
      <c r="D13" s="154">
        <v>42158</v>
      </c>
      <c r="E13" s="58">
        <f>B12</f>
        <v>3901.823257485074</v>
      </c>
      <c r="L13" s="83">
        <f t="shared" si="11"/>
        <v>3901.823257485074</v>
      </c>
      <c r="M13" s="68"/>
      <c r="N13" s="62">
        <v>42158</v>
      </c>
      <c r="O13" s="37">
        <f t="shared" si="12"/>
        <v>3901.823257485074</v>
      </c>
      <c r="P13" s="85">
        <f t="shared" si="13"/>
        <v>5.7211484713857388</v>
      </c>
      <c r="Q13" s="85">
        <f t="shared" si="14"/>
        <v>145.31717117319775</v>
      </c>
      <c r="R13" s="84">
        <f t="shared" ref="R13:R76" si="27">O13+R12</f>
        <v>9841.8232574850754</v>
      </c>
      <c r="S13" s="86">
        <f t="shared" si="15"/>
        <v>0.22593717303684746</v>
      </c>
      <c r="T13" s="85">
        <f t="shared" si="16"/>
        <v>14.43082589074058</v>
      </c>
      <c r="U13" s="88">
        <f>LOOKUP(N13,'weather data'!$B$7:$B$158,'weather data'!$C$7:$C$158)</f>
        <v>0.08</v>
      </c>
      <c r="V13" s="88">
        <f t="shared" si="17"/>
        <v>6.4000000000000001E-2</v>
      </c>
      <c r="W13" s="88">
        <f t="shared" ref="W13:W76" si="28">V13+W12</f>
        <v>6.4000000000000001E-2</v>
      </c>
      <c r="X13" s="79">
        <f>LOOKUP(N13,'weather data'!$B$7:$B$158,'weather data'!$E$7:$E$158)</f>
        <v>0.12</v>
      </c>
      <c r="Y13" s="6">
        <v>1</v>
      </c>
      <c r="Z13" s="6">
        <v>3</v>
      </c>
      <c r="AA13" s="95">
        <f t="shared" si="1"/>
        <v>3.9669421487603307</v>
      </c>
      <c r="AB13" s="94">
        <f ca="1">FORECAST(AA13,OFFSET(Soils!$K$41:$K$57,MATCH(AA13,Soils!$J$41:$J$57,1)-1,0,2),OFFSET(Soils!$J$41:$J$57,MATCH(AA13,Soils!$J$41:$J$57,1)-1,0,2))</f>
        <v>0.25</v>
      </c>
      <c r="AC13" s="92">
        <f t="shared" ca="1" si="2"/>
        <v>1</v>
      </c>
      <c r="AD13" s="92">
        <f t="shared" ca="1" si="18"/>
        <v>0.25</v>
      </c>
      <c r="AE13" s="87">
        <f t="shared" ca="1" si="19"/>
        <v>0.03</v>
      </c>
      <c r="AF13" s="87">
        <f t="shared" ca="1" si="20"/>
        <v>0.03</v>
      </c>
      <c r="AG13" s="87">
        <f t="shared" ref="AG13:AG24" ca="1" si="29">AF13+AG12</f>
        <v>0.11</v>
      </c>
      <c r="AH13" s="56">
        <f ca="1">FORECAST(AA13,OFFSET(Soils!$L$41:$L$57,MATCH(AA13,Soils!$J$41:$J$57,1)-1,0,2),OFFSET(Soils!$J$41:$J$57,MATCH(AA13,Soils!$J$41:$J$57,1)-1,0,2))</f>
        <v>0</v>
      </c>
      <c r="AI13" s="27">
        <f t="shared" ca="1" si="3"/>
        <v>0.25</v>
      </c>
      <c r="AJ13" s="54"/>
      <c r="AK13" s="54">
        <f t="shared" ca="1" si="4"/>
        <v>0.27</v>
      </c>
      <c r="AL13" s="54">
        <f t="shared" ca="1" si="21"/>
        <v>6.8579999999999997</v>
      </c>
      <c r="AM13" s="27">
        <f t="shared" ca="1" si="22"/>
        <v>8.1000000000000003E-2</v>
      </c>
      <c r="AN13" s="40">
        <f t="shared" ca="1" si="5"/>
        <v>0.189</v>
      </c>
      <c r="AO13" s="27">
        <f t="shared" ca="1" si="23"/>
        <v>3.2500000000000001E-2</v>
      </c>
      <c r="AP13" s="27">
        <f t="shared" ca="1" si="6"/>
        <v>0</v>
      </c>
      <c r="AQ13" s="27">
        <f t="shared" ca="1" si="0"/>
        <v>0.27</v>
      </c>
      <c r="AR13" s="27">
        <f t="shared" ca="1" si="7"/>
        <v>1</v>
      </c>
      <c r="AS13" s="27">
        <f t="shared" ca="1" si="8"/>
        <v>5.7226484713857388</v>
      </c>
      <c r="AT13" s="28">
        <f t="shared" ref="AT13:AT24" ca="1" si="30">AS13+AT12</f>
        <v>14.384825890740579</v>
      </c>
      <c r="AU13" s="27">
        <f t="shared" ca="1" si="9"/>
        <v>5.6593398970284481</v>
      </c>
      <c r="AV13" s="51">
        <f t="shared" ca="1" si="24"/>
        <v>143.74723338452256</v>
      </c>
      <c r="AW13" s="51">
        <f t="shared" ref="AW13:AW24" ca="1" si="31">AU13+AW12</f>
        <v>14.321517316383289</v>
      </c>
      <c r="AX13" s="27">
        <f t="shared" ca="1" si="25"/>
        <v>6.3308574357290121E-2</v>
      </c>
      <c r="AY13" s="54">
        <f t="shared" ref="AY13:AY24" ca="1" si="32">AX13+AY12</f>
        <v>6.3308574357290121E-2</v>
      </c>
      <c r="AZ13" s="91">
        <f t="shared" si="26"/>
        <v>14.494825890740579</v>
      </c>
      <c r="BA13" s="33">
        <f t="shared" ca="1" si="10"/>
        <v>6.25E-2</v>
      </c>
      <c r="BB13" s="33">
        <f t="shared" ref="BB13:BB24" ca="1" si="33">BA13+BB12</f>
        <v>0.10999999999999943</v>
      </c>
    </row>
    <row r="14" spans="1:69" x14ac:dyDescent="0.25">
      <c r="A14" s="18">
        <v>42165</v>
      </c>
      <c r="B14">
        <v>3340.7615139956138</v>
      </c>
      <c r="D14" s="154">
        <v>42159</v>
      </c>
      <c r="E14" s="58">
        <v>0</v>
      </c>
      <c r="L14" s="83">
        <f t="shared" si="11"/>
        <v>0</v>
      </c>
      <c r="M14" s="68"/>
      <c r="N14" s="62">
        <v>42159</v>
      </c>
      <c r="O14" s="37">
        <f t="shared" si="12"/>
        <v>0</v>
      </c>
      <c r="P14" s="85">
        <f t="shared" si="13"/>
        <v>0</v>
      </c>
      <c r="Q14" s="85">
        <f t="shared" si="14"/>
        <v>0</v>
      </c>
      <c r="R14" s="84">
        <f t="shared" si="27"/>
        <v>9841.8232574850754</v>
      </c>
      <c r="S14" s="86">
        <f t="shared" si="15"/>
        <v>0.22593717303684746</v>
      </c>
      <c r="T14" s="85">
        <f t="shared" si="16"/>
        <v>14.43082589074058</v>
      </c>
      <c r="U14" s="88">
        <f>LOOKUP(N14,'weather data'!$B$7:$B$158,'weather data'!$C$7:$C$158)</f>
        <v>0</v>
      </c>
      <c r="V14" s="88">
        <f t="shared" si="17"/>
        <v>0</v>
      </c>
      <c r="W14" s="88">
        <f t="shared" si="28"/>
        <v>6.4000000000000001E-2</v>
      </c>
      <c r="X14" s="79">
        <f>LOOKUP(N14,'weather data'!$B$7:$B$158,'weather data'!$E$7:$E$158)</f>
        <v>0.08</v>
      </c>
      <c r="Y14" s="6">
        <v>1</v>
      </c>
      <c r="Z14" s="6">
        <v>4</v>
      </c>
      <c r="AA14" s="95">
        <f t="shared" si="1"/>
        <v>5.2892561983471076</v>
      </c>
      <c r="AB14" s="94">
        <f ca="1">FORECAST(AA14,OFFSET(Soils!$K$41:$K$57,MATCH(AA14,Soils!$J$41:$J$57,1)-1,0,2),OFFSET(Soils!$J$41:$J$57,MATCH(AA14,Soils!$J$41:$J$57,1)-1,0,2))</f>
        <v>0.25</v>
      </c>
      <c r="AC14" s="92">
        <f t="shared" ca="1" si="2"/>
        <v>1</v>
      </c>
      <c r="AD14" s="92">
        <f t="shared" ca="1" si="18"/>
        <v>0.25</v>
      </c>
      <c r="AE14" s="87">
        <f t="shared" ca="1" si="19"/>
        <v>0.02</v>
      </c>
      <c r="AF14" s="87">
        <f t="shared" ca="1" si="20"/>
        <v>0.02</v>
      </c>
      <c r="AG14" s="87">
        <f t="shared" ca="1" si="29"/>
        <v>0.13</v>
      </c>
      <c r="AH14" s="56">
        <f ca="1">FORECAST(AA14,OFFSET(Soils!$L$41:$L$57,MATCH(AA14,Soils!$J$41:$J$57,1)-1,0,2),OFFSET(Soils!$J$41:$J$57,MATCH(AA14,Soils!$J$41:$J$57,1)-1,0,2))</f>
        <v>0</v>
      </c>
      <c r="AI14" s="27">
        <f t="shared" ca="1" si="3"/>
        <v>0.25</v>
      </c>
      <c r="AJ14" s="54"/>
      <c r="AK14" s="54">
        <f t="shared" ca="1" si="4"/>
        <v>0.27</v>
      </c>
      <c r="AL14" s="54">
        <f t="shared" ca="1" si="21"/>
        <v>6.8579999999999997</v>
      </c>
      <c r="AM14" s="27">
        <f t="shared" ca="1" si="22"/>
        <v>8.1000000000000003E-2</v>
      </c>
      <c r="AN14" s="40">
        <f t="shared" ca="1" si="5"/>
        <v>0.189</v>
      </c>
      <c r="AO14" s="27">
        <f t="shared" ca="1" si="23"/>
        <v>0</v>
      </c>
      <c r="AP14" s="27">
        <f t="shared" ca="1" si="6"/>
        <v>0.02</v>
      </c>
      <c r="AQ14" s="27">
        <f t="shared" ca="1" si="0"/>
        <v>0.25</v>
      </c>
      <c r="AR14" s="27">
        <f t="shared" ca="1" si="7"/>
        <v>1</v>
      </c>
      <c r="AS14" s="27">
        <f t="shared" ca="1" si="8"/>
        <v>0</v>
      </c>
      <c r="AT14" s="28">
        <f t="shared" ca="1" si="30"/>
        <v>14.384825890740579</v>
      </c>
      <c r="AU14" s="27">
        <f t="shared" ca="1" si="9"/>
        <v>0</v>
      </c>
      <c r="AV14" s="51">
        <f t="shared" ca="1" si="24"/>
        <v>0</v>
      </c>
      <c r="AW14" s="51">
        <f t="shared" ca="1" si="31"/>
        <v>14.321517316383289</v>
      </c>
      <c r="AX14" s="27">
        <f t="shared" ca="1" si="25"/>
        <v>0</v>
      </c>
      <c r="AY14" s="54">
        <f t="shared" ca="1" si="32"/>
        <v>6.3308574357290121E-2</v>
      </c>
      <c r="AZ14" s="91">
        <f t="shared" si="26"/>
        <v>14.494825890740579</v>
      </c>
      <c r="BA14" s="33">
        <f t="shared" ca="1" si="10"/>
        <v>0</v>
      </c>
      <c r="BB14" s="33">
        <f t="shared" ca="1" si="33"/>
        <v>0.10999999999999943</v>
      </c>
    </row>
    <row r="15" spans="1:69" x14ac:dyDescent="0.25">
      <c r="A15" s="18">
        <v>42170</v>
      </c>
      <c r="B15">
        <v>5637.8092716251222</v>
      </c>
      <c r="D15" s="154">
        <v>42160</v>
      </c>
      <c r="E15" s="58">
        <v>0</v>
      </c>
      <c r="L15" s="83">
        <f t="shared" si="11"/>
        <v>0</v>
      </c>
      <c r="M15" s="68"/>
      <c r="N15" s="62">
        <v>42160</v>
      </c>
      <c r="O15" s="37">
        <f t="shared" si="12"/>
        <v>0</v>
      </c>
      <c r="P15" s="85">
        <f t="shared" si="13"/>
        <v>0</v>
      </c>
      <c r="Q15" s="85">
        <f t="shared" si="14"/>
        <v>0</v>
      </c>
      <c r="R15" s="84">
        <f t="shared" si="27"/>
        <v>9841.8232574850754</v>
      </c>
      <c r="S15" s="86">
        <f t="shared" si="15"/>
        <v>0.22593717303684746</v>
      </c>
      <c r="T15" s="85">
        <f t="shared" si="16"/>
        <v>14.43082589074058</v>
      </c>
      <c r="U15" s="88">
        <f>LOOKUP(N15,'weather data'!$B$7:$B$158,'weather data'!$C$7:$C$158)</f>
        <v>0</v>
      </c>
      <c r="V15" s="88">
        <f t="shared" si="17"/>
        <v>0</v>
      </c>
      <c r="W15" s="88">
        <f t="shared" si="28"/>
        <v>6.4000000000000001E-2</v>
      </c>
      <c r="X15" s="79">
        <f>LOOKUP(N15,'weather data'!$B$7:$B$158,'weather data'!$E$7:$E$158)</f>
        <v>0.09</v>
      </c>
      <c r="Y15" s="6">
        <v>1</v>
      </c>
      <c r="Z15" s="6">
        <v>5</v>
      </c>
      <c r="AA15" s="95">
        <f t="shared" si="1"/>
        <v>6.6115702479338845</v>
      </c>
      <c r="AB15" s="94">
        <f ca="1">FORECAST(AA15,OFFSET(Soils!$K$41:$K$57,MATCH(AA15,Soils!$J$41:$J$57,1)-1,0,2),OFFSET(Soils!$J$41:$J$57,MATCH(AA15,Soils!$J$41:$J$57,1)-1,0,2))</f>
        <v>0.25</v>
      </c>
      <c r="AC15" s="92">
        <f t="shared" ca="1" si="2"/>
        <v>1</v>
      </c>
      <c r="AD15" s="92">
        <f t="shared" ca="1" si="18"/>
        <v>0.25</v>
      </c>
      <c r="AE15" s="87">
        <f t="shared" ca="1" si="19"/>
        <v>2.2499999999999999E-2</v>
      </c>
      <c r="AF15" s="87">
        <f t="shared" ca="1" si="20"/>
        <v>2.2499999999999999E-2</v>
      </c>
      <c r="AG15" s="87">
        <f t="shared" ca="1" si="29"/>
        <v>0.1525</v>
      </c>
      <c r="AH15" s="56">
        <f ca="1">FORECAST(AA15,OFFSET(Soils!$L$41:$L$57,MATCH(AA15,Soils!$J$41:$J$57,1)-1,0,2),OFFSET(Soils!$J$41:$J$57,MATCH(AA15,Soils!$J$41:$J$57,1)-1,0,2))</f>
        <v>0</v>
      </c>
      <c r="AI15" s="27">
        <f t="shared" ca="1" si="3"/>
        <v>0.25</v>
      </c>
      <c r="AJ15" s="54"/>
      <c r="AK15" s="54">
        <f t="shared" ca="1" si="4"/>
        <v>0.27</v>
      </c>
      <c r="AL15" s="54">
        <f t="shared" ca="1" si="21"/>
        <v>6.8579999999999997</v>
      </c>
      <c r="AM15" s="27">
        <f t="shared" ca="1" si="22"/>
        <v>8.1000000000000003E-2</v>
      </c>
      <c r="AN15" s="40">
        <f t="shared" ca="1" si="5"/>
        <v>0.189</v>
      </c>
      <c r="AO15" s="27">
        <f t="shared" ca="1" si="23"/>
        <v>0.02</v>
      </c>
      <c r="AP15" s="27">
        <f t="shared" ca="1" si="6"/>
        <v>4.2499999999999996E-2</v>
      </c>
      <c r="AQ15" s="27">
        <f t="shared" ca="1" si="0"/>
        <v>0.22750000000000004</v>
      </c>
      <c r="AR15" s="27">
        <f t="shared" ca="1" si="7"/>
        <v>1</v>
      </c>
      <c r="AS15" s="27">
        <f t="shared" ca="1" si="8"/>
        <v>0</v>
      </c>
      <c r="AT15" s="28">
        <f t="shared" ca="1" si="30"/>
        <v>14.384825890740579</v>
      </c>
      <c r="AU15" s="27">
        <f t="shared" ca="1" si="9"/>
        <v>0</v>
      </c>
      <c r="AV15" s="51">
        <f t="shared" ca="1" si="24"/>
        <v>0</v>
      </c>
      <c r="AW15" s="51">
        <f t="shared" ca="1" si="31"/>
        <v>14.321517316383289</v>
      </c>
      <c r="AX15" s="27">
        <f t="shared" ca="1" si="25"/>
        <v>0</v>
      </c>
      <c r="AY15" s="54">
        <f t="shared" ca="1" si="32"/>
        <v>6.3308574357290121E-2</v>
      </c>
      <c r="AZ15" s="91">
        <f t="shared" si="26"/>
        <v>14.494825890740579</v>
      </c>
      <c r="BA15" s="33">
        <f t="shared" ca="1" si="10"/>
        <v>0</v>
      </c>
      <c r="BB15" s="33">
        <f t="shared" ca="1" si="33"/>
        <v>0.10999999999999943</v>
      </c>
    </row>
    <row r="16" spans="1:69" x14ac:dyDescent="0.25">
      <c r="A16" s="18">
        <v>42172</v>
      </c>
      <c r="B16">
        <v>3205.5951130096787</v>
      </c>
      <c r="D16" s="154">
        <v>42161</v>
      </c>
      <c r="E16" s="58">
        <v>0</v>
      </c>
      <c r="L16" s="83">
        <f t="shared" si="11"/>
        <v>0</v>
      </c>
      <c r="M16" s="68"/>
      <c r="N16" s="62">
        <v>42161</v>
      </c>
      <c r="O16" s="37">
        <f t="shared" si="12"/>
        <v>0</v>
      </c>
      <c r="P16" s="85">
        <f t="shared" si="13"/>
        <v>0</v>
      </c>
      <c r="Q16" s="85">
        <f t="shared" si="14"/>
        <v>0</v>
      </c>
      <c r="R16" s="84">
        <f t="shared" si="27"/>
        <v>9841.8232574850754</v>
      </c>
      <c r="S16" s="86">
        <f t="shared" si="15"/>
        <v>0.22593717303684746</v>
      </c>
      <c r="T16" s="85">
        <f t="shared" si="16"/>
        <v>14.43082589074058</v>
      </c>
      <c r="U16" s="88">
        <f>LOOKUP(N16,'weather data'!$B$7:$B$158,'weather data'!$C$7:$C$158)</f>
        <v>0</v>
      </c>
      <c r="V16" s="88">
        <f t="shared" si="17"/>
        <v>0</v>
      </c>
      <c r="W16" s="88">
        <f t="shared" si="28"/>
        <v>6.4000000000000001E-2</v>
      </c>
      <c r="X16" s="79">
        <f>LOOKUP(N16,'weather data'!$B$7:$B$158,'weather data'!$E$7:$E$158)</f>
        <v>0.12</v>
      </c>
      <c r="Y16" s="6">
        <v>1</v>
      </c>
      <c r="Z16" s="6">
        <v>6</v>
      </c>
      <c r="AA16" s="95">
        <f t="shared" si="1"/>
        <v>7.9338842975206614</v>
      </c>
      <c r="AB16" s="94">
        <f ca="1">FORECAST(AA16,OFFSET(Soils!$K$41:$K$57,MATCH(AA16,Soils!$J$41:$J$57,1)-1,0,2),OFFSET(Soils!$J$41:$J$57,MATCH(AA16,Soils!$J$41:$J$57,1)-1,0,2))</f>
        <v>0.25</v>
      </c>
      <c r="AC16" s="92">
        <f t="shared" ca="1" si="2"/>
        <v>1</v>
      </c>
      <c r="AD16" s="92">
        <f t="shared" ca="1" si="18"/>
        <v>0.25</v>
      </c>
      <c r="AE16" s="87">
        <f t="shared" ca="1" si="19"/>
        <v>0.03</v>
      </c>
      <c r="AF16" s="87">
        <f t="shared" ca="1" si="20"/>
        <v>0.03</v>
      </c>
      <c r="AG16" s="87">
        <f t="shared" ca="1" si="29"/>
        <v>0.1825</v>
      </c>
      <c r="AH16" s="56">
        <f ca="1">FORECAST(AA16,OFFSET(Soils!$L$41:$L$57,MATCH(AA16,Soils!$J$41:$J$57,1)-1,0,2),OFFSET(Soils!$J$41:$J$57,MATCH(AA16,Soils!$J$41:$J$57,1)-1,0,2))</f>
        <v>0</v>
      </c>
      <c r="AI16" s="27">
        <f t="shared" ca="1" si="3"/>
        <v>0.25</v>
      </c>
      <c r="AJ16" s="54"/>
      <c r="AK16" s="54">
        <f t="shared" ca="1" si="4"/>
        <v>0.27</v>
      </c>
      <c r="AL16" s="54">
        <f t="shared" ca="1" si="21"/>
        <v>6.8579999999999997</v>
      </c>
      <c r="AM16" s="27">
        <f t="shared" ca="1" si="22"/>
        <v>8.1000000000000003E-2</v>
      </c>
      <c r="AN16" s="40">
        <f t="shared" ca="1" si="5"/>
        <v>0.189</v>
      </c>
      <c r="AO16" s="27">
        <f t="shared" ca="1" si="23"/>
        <v>4.2499999999999996E-2</v>
      </c>
      <c r="AP16" s="27">
        <f t="shared" ca="1" si="6"/>
        <v>7.2499999999999995E-2</v>
      </c>
      <c r="AQ16" s="27">
        <f t="shared" ca="1" si="0"/>
        <v>0.19750000000000001</v>
      </c>
      <c r="AR16" s="27">
        <f t="shared" ca="1" si="7"/>
        <v>1</v>
      </c>
      <c r="AS16" s="27">
        <f t="shared" ca="1" si="8"/>
        <v>0</v>
      </c>
      <c r="AT16" s="28">
        <f t="shared" ca="1" si="30"/>
        <v>14.384825890740579</v>
      </c>
      <c r="AU16" s="27">
        <f t="shared" ca="1" si="9"/>
        <v>0</v>
      </c>
      <c r="AV16" s="51">
        <f t="shared" ca="1" si="24"/>
        <v>0</v>
      </c>
      <c r="AW16" s="51">
        <f t="shared" ca="1" si="31"/>
        <v>14.321517316383289</v>
      </c>
      <c r="AX16" s="27">
        <f t="shared" ca="1" si="25"/>
        <v>0</v>
      </c>
      <c r="AY16" s="54">
        <f t="shared" ca="1" si="32"/>
        <v>6.3308574357290121E-2</v>
      </c>
      <c r="AZ16" s="91">
        <f t="shared" si="26"/>
        <v>14.494825890740579</v>
      </c>
      <c r="BA16" s="33">
        <f t="shared" ca="1" si="10"/>
        <v>0</v>
      </c>
      <c r="BB16" s="33">
        <f t="shared" ca="1" si="33"/>
        <v>0.10999999999999943</v>
      </c>
      <c r="BQ16">
        <v>0</v>
      </c>
    </row>
    <row r="17" spans="1:54" x14ac:dyDescent="0.25">
      <c r="A17" s="18">
        <v>42174</v>
      </c>
      <c r="B17">
        <v>3477.9884459855607</v>
      </c>
      <c r="D17" s="154">
        <v>42162</v>
      </c>
      <c r="E17" s="58">
        <v>0</v>
      </c>
      <c r="L17" s="83">
        <f t="shared" si="11"/>
        <v>0</v>
      </c>
      <c r="M17" s="68"/>
      <c r="N17" s="62">
        <v>42162</v>
      </c>
      <c r="O17" s="37">
        <f t="shared" si="12"/>
        <v>0</v>
      </c>
      <c r="P17" s="85">
        <f t="shared" si="13"/>
        <v>0</v>
      </c>
      <c r="Q17" s="85">
        <f t="shared" si="14"/>
        <v>0</v>
      </c>
      <c r="R17" s="84">
        <f t="shared" si="27"/>
        <v>9841.8232574850754</v>
      </c>
      <c r="S17" s="86">
        <f t="shared" si="15"/>
        <v>0.22593717303684746</v>
      </c>
      <c r="T17" s="85">
        <f t="shared" si="16"/>
        <v>14.43082589074058</v>
      </c>
      <c r="U17" s="88">
        <f>LOOKUP(N17,'weather data'!$B$7:$B$158,'weather data'!$C$7:$C$158)</f>
        <v>0</v>
      </c>
      <c r="V17" s="88">
        <f t="shared" si="17"/>
        <v>0</v>
      </c>
      <c r="W17" s="88">
        <f t="shared" si="28"/>
        <v>6.4000000000000001E-2</v>
      </c>
      <c r="X17" s="79">
        <f>LOOKUP(N17,'weather data'!$B$7:$B$158,'weather data'!$E$7:$E$158)</f>
        <v>0.11</v>
      </c>
      <c r="Y17" s="6">
        <v>1</v>
      </c>
      <c r="Z17" s="6">
        <v>7</v>
      </c>
      <c r="AA17" s="95">
        <f t="shared" si="1"/>
        <v>9.2561983471074374</v>
      </c>
      <c r="AB17" s="94">
        <f ca="1">FORECAST(AA17,OFFSET(Soils!$K$41:$K$57,MATCH(AA17,Soils!$J$41:$J$57,1)-1,0,2),OFFSET(Soils!$J$41:$J$57,MATCH(AA17,Soils!$J$41:$J$57,1)-1,0,2))</f>
        <v>0.25</v>
      </c>
      <c r="AC17" s="92">
        <f t="shared" ca="1" si="2"/>
        <v>1</v>
      </c>
      <c r="AD17" s="92">
        <f t="shared" ca="1" si="18"/>
        <v>0.25</v>
      </c>
      <c r="AE17" s="87">
        <f t="shared" ca="1" si="19"/>
        <v>2.75E-2</v>
      </c>
      <c r="AF17" s="87">
        <f t="shared" ca="1" si="20"/>
        <v>2.75E-2</v>
      </c>
      <c r="AG17" s="87">
        <f t="shared" ca="1" si="29"/>
        <v>0.21</v>
      </c>
      <c r="AH17" s="56">
        <f ca="1">FORECAST(AA17,OFFSET(Soils!$L$41:$L$57,MATCH(AA17,Soils!$J$41:$J$57,1)-1,0,2),OFFSET(Soils!$J$41:$J$57,MATCH(AA17,Soils!$J$41:$J$57,1)-1,0,2))</f>
        <v>0</v>
      </c>
      <c r="AI17" s="27">
        <f t="shared" ca="1" si="3"/>
        <v>0.25</v>
      </c>
      <c r="AJ17" s="54"/>
      <c r="AK17" s="54">
        <f t="shared" ca="1" si="4"/>
        <v>0.27</v>
      </c>
      <c r="AL17" s="54">
        <f t="shared" ca="1" si="21"/>
        <v>6.8579999999999997</v>
      </c>
      <c r="AM17" s="27">
        <f t="shared" ca="1" si="22"/>
        <v>8.1000000000000003E-2</v>
      </c>
      <c r="AN17" s="40">
        <f t="shared" ca="1" si="5"/>
        <v>0.189</v>
      </c>
      <c r="AO17" s="27">
        <f t="shared" ca="1" si="23"/>
        <v>7.2499999999999995E-2</v>
      </c>
      <c r="AP17" s="27">
        <f t="shared" ca="1" si="6"/>
        <v>9.9999999999999992E-2</v>
      </c>
      <c r="AQ17" s="27">
        <f t="shared" ca="1" si="0"/>
        <v>0.17000000000000004</v>
      </c>
      <c r="AR17" s="27">
        <f t="shared" ca="1" si="7"/>
        <v>1</v>
      </c>
      <c r="AS17" s="27">
        <f t="shared" ca="1" si="8"/>
        <v>0</v>
      </c>
      <c r="AT17" s="28">
        <f t="shared" ca="1" si="30"/>
        <v>14.384825890740579</v>
      </c>
      <c r="AU17" s="27">
        <f t="shared" ca="1" si="9"/>
        <v>0</v>
      </c>
      <c r="AV17" s="51">
        <f t="shared" ca="1" si="24"/>
        <v>0</v>
      </c>
      <c r="AW17" s="51">
        <f t="shared" ca="1" si="31"/>
        <v>14.321517316383289</v>
      </c>
      <c r="AX17" s="27">
        <f t="shared" ca="1" si="25"/>
        <v>0</v>
      </c>
      <c r="AY17" s="54">
        <f t="shared" ca="1" si="32"/>
        <v>6.3308574357290121E-2</v>
      </c>
      <c r="AZ17" s="91">
        <f t="shared" si="26"/>
        <v>14.494825890740579</v>
      </c>
      <c r="BA17" s="33">
        <f t="shared" ca="1" si="10"/>
        <v>0</v>
      </c>
      <c r="BB17" s="33">
        <f t="shared" ca="1" si="33"/>
        <v>0.10999999999999943</v>
      </c>
    </row>
    <row r="18" spans="1:54" x14ac:dyDescent="0.25">
      <c r="A18" s="18">
        <v>42177</v>
      </c>
      <c r="B18">
        <v>4608.7669625511453</v>
      </c>
      <c r="D18" s="154">
        <v>42163</v>
      </c>
      <c r="E18" s="58">
        <f>B13</f>
        <v>5422.1697001483444</v>
      </c>
      <c r="L18" s="83">
        <f t="shared" si="11"/>
        <v>5422.1697001483444</v>
      </c>
      <c r="M18" s="68"/>
      <c r="N18" s="62">
        <v>42163</v>
      </c>
      <c r="O18" s="37">
        <f t="shared" si="12"/>
        <v>5422.1697001483444</v>
      </c>
      <c r="P18" s="85">
        <f t="shared" si="13"/>
        <v>7.9503954547629689</v>
      </c>
      <c r="Q18" s="85">
        <f t="shared" si="14"/>
        <v>201.94004455097939</v>
      </c>
      <c r="R18" s="84">
        <f t="shared" si="27"/>
        <v>15263.99295763342</v>
      </c>
      <c r="S18" s="86">
        <f t="shared" si="15"/>
        <v>0.35041306147000506</v>
      </c>
      <c r="T18" s="85">
        <f t="shared" si="16"/>
        <v>22.381221345503548</v>
      </c>
      <c r="U18" s="88">
        <f>LOOKUP(N18,'weather data'!$B$7:$B$158,'weather data'!$C$7:$C$158)</f>
        <v>0</v>
      </c>
      <c r="V18" s="88">
        <f t="shared" si="17"/>
        <v>0</v>
      </c>
      <c r="W18" s="88">
        <f t="shared" si="28"/>
        <v>6.4000000000000001E-2</v>
      </c>
      <c r="X18" s="79">
        <f>LOOKUP(N18,'weather data'!$B$7:$B$158,'weather data'!$E$7:$E$158)</f>
        <v>0.11</v>
      </c>
      <c r="Y18" s="6">
        <v>1</v>
      </c>
      <c r="Z18" s="6">
        <v>8</v>
      </c>
      <c r="AA18" s="95">
        <f t="shared" si="1"/>
        <v>10.578512396694215</v>
      </c>
      <c r="AB18" s="94">
        <f ca="1">FORECAST(AA18,OFFSET(Soils!$K$41:$K$57,MATCH(AA18,Soils!$J$41:$J$57,1)-1,0,2),OFFSET(Soils!$J$41:$J$57,MATCH(AA18,Soils!$J$41:$J$57,1)-1,0,2))</f>
        <v>0.25</v>
      </c>
      <c r="AC18" s="92">
        <f t="shared" ca="1" si="2"/>
        <v>0.89947089947089964</v>
      </c>
      <c r="AD18" s="92">
        <f t="shared" ca="1" si="18"/>
        <v>0.22486772486772491</v>
      </c>
      <c r="AE18" s="87">
        <f t="shared" ca="1" si="19"/>
        <v>2.75E-2</v>
      </c>
      <c r="AF18" s="87">
        <f t="shared" ca="1" si="20"/>
        <v>2.4735449735449739E-2</v>
      </c>
      <c r="AG18" s="87">
        <f t="shared" ca="1" si="29"/>
        <v>0.23473544973544974</v>
      </c>
      <c r="AH18" s="56">
        <f ca="1">FORECAST(AA18,OFFSET(Soils!$L$41:$L$57,MATCH(AA18,Soils!$J$41:$J$57,1)-1,0,2),OFFSET(Soils!$J$41:$J$57,MATCH(AA18,Soils!$J$41:$J$57,1)-1,0,2))</f>
        <v>0</v>
      </c>
      <c r="AI18" s="27">
        <f t="shared" ca="1" si="3"/>
        <v>0.25</v>
      </c>
      <c r="AJ18" s="54"/>
      <c r="AK18" s="54">
        <f t="shared" ca="1" si="4"/>
        <v>0.27</v>
      </c>
      <c r="AL18" s="54">
        <f t="shared" ca="1" si="21"/>
        <v>6.8579999999999997</v>
      </c>
      <c r="AM18" s="27">
        <f t="shared" ca="1" si="22"/>
        <v>8.1000000000000003E-2</v>
      </c>
      <c r="AN18" s="40">
        <f t="shared" ca="1" si="5"/>
        <v>0.189</v>
      </c>
      <c r="AO18" s="27">
        <f t="shared" ca="1" si="23"/>
        <v>9.9999999999999992E-2</v>
      </c>
      <c r="AP18" s="27">
        <f t="shared" ca="1" si="6"/>
        <v>0</v>
      </c>
      <c r="AQ18" s="27">
        <f t="shared" ca="1" si="0"/>
        <v>0.27</v>
      </c>
      <c r="AR18" s="27">
        <f t="shared" ca="1" si="7"/>
        <v>0.89947089947089964</v>
      </c>
      <c r="AS18" s="27">
        <f t="shared" ca="1" si="8"/>
        <v>7.8256600050275198</v>
      </c>
      <c r="AT18" s="28">
        <f t="shared" ca="1" si="30"/>
        <v>22.210485895768098</v>
      </c>
      <c r="AU18" s="27">
        <f t="shared" ca="1" si="9"/>
        <v>7.8256600050275198</v>
      </c>
      <c r="AV18" s="51">
        <f t="shared" ca="1" si="24"/>
        <v>198.77176412769899</v>
      </c>
      <c r="AW18" s="51">
        <f t="shared" ca="1" si="31"/>
        <v>22.147177321410808</v>
      </c>
      <c r="AX18" s="27">
        <f t="shared" ca="1" si="25"/>
        <v>0</v>
      </c>
      <c r="AY18" s="54">
        <f t="shared" ca="1" si="32"/>
        <v>6.3308574357290121E-2</v>
      </c>
      <c r="AZ18" s="91">
        <f t="shared" si="26"/>
        <v>22.445221345503548</v>
      </c>
      <c r="BA18" s="33">
        <f t="shared" ca="1" si="10"/>
        <v>0.12473544973544914</v>
      </c>
      <c r="BB18" s="33">
        <f t="shared" ca="1" si="33"/>
        <v>0.23473544973544858</v>
      </c>
    </row>
    <row r="19" spans="1:54" x14ac:dyDescent="0.25">
      <c r="A19" s="18">
        <v>42179</v>
      </c>
      <c r="B19">
        <v>2941.5329999321866</v>
      </c>
      <c r="D19" s="154">
        <v>42164</v>
      </c>
      <c r="E19" s="58">
        <v>0</v>
      </c>
      <c r="L19" s="83">
        <f t="shared" si="11"/>
        <v>0</v>
      </c>
      <c r="M19" s="68"/>
      <c r="N19" s="62">
        <v>42164</v>
      </c>
      <c r="O19" s="37">
        <f t="shared" si="12"/>
        <v>0</v>
      </c>
      <c r="P19" s="85">
        <f t="shared" si="13"/>
        <v>0</v>
      </c>
      <c r="Q19" s="85">
        <f t="shared" si="14"/>
        <v>0</v>
      </c>
      <c r="R19" s="84">
        <f t="shared" si="27"/>
        <v>15263.99295763342</v>
      </c>
      <c r="S19" s="86">
        <f t="shared" si="15"/>
        <v>0.35041306147000506</v>
      </c>
      <c r="T19" s="85">
        <f t="shared" si="16"/>
        <v>22.381221345503548</v>
      </c>
      <c r="U19" s="88">
        <f>LOOKUP(N19,'weather data'!$B$7:$B$158,'weather data'!$C$7:$C$158)</f>
        <v>0</v>
      </c>
      <c r="V19" s="88">
        <f t="shared" si="17"/>
        <v>0</v>
      </c>
      <c r="W19" s="88">
        <f t="shared" si="28"/>
        <v>6.4000000000000001E-2</v>
      </c>
      <c r="X19" s="79">
        <f>LOOKUP(N19,'weather data'!$B$7:$B$158,'weather data'!$E$7:$E$158)</f>
        <v>0.11</v>
      </c>
      <c r="Y19" s="6">
        <v>1</v>
      </c>
      <c r="Z19" s="6">
        <v>9</v>
      </c>
      <c r="AA19" s="95">
        <f t="shared" si="1"/>
        <v>11.900826446280991</v>
      </c>
      <c r="AB19" s="94">
        <f ca="1">FORECAST(AA19,OFFSET(Soils!$K$41:$K$57,MATCH(AA19,Soils!$J$41:$J$57,1)-1,0,2),OFFSET(Soils!$J$41:$J$57,MATCH(AA19,Soils!$J$41:$J$57,1)-1,0,2))</f>
        <v>0.25</v>
      </c>
      <c r="AC19" s="92">
        <f t="shared" ca="1" si="2"/>
        <v>1</v>
      </c>
      <c r="AD19" s="92">
        <f t="shared" ca="1" si="18"/>
        <v>0.25</v>
      </c>
      <c r="AE19" s="87">
        <f t="shared" ca="1" si="19"/>
        <v>2.75E-2</v>
      </c>
      <c r="AF19" s="87">
        <f t="shared" ca="1" si="20"/>
        <v>2.75E-2</v>
      </c>
      <c r="AG19" s="87">
        <f t="shared" ca="1" si="29"/>
        <v>0.26223544973544977</v>
      </c>
      <c r="AH19" s="56">
        <f ca="1">FORECAST(AA19,OFFSET(Soils!$L$41:$L$57,MATCH(AA19,Soils!$J$41:$J$57,1)-1,0,2),OFFSET(Soils!$J$41:$J$57,MATCH(AA19,Soils!$J$41:$J$57,1)-1,0,2))</f>
        <v>0</v>
      </c>
      <c r="AI19" s="27">
        <f t="shared" ca="1" si="3"/>
        <v>0.25</v>
      </c>
      <c r="AJ19" s="54"/>
      <c r="AK19" s="54">
        <f t="shared" ca="1" si="4"/>
        <v>0.27</v>
      </c>
      <c r="AL19" s="54">
        <f t="shared" ca="1" si="21"/>
        <v>6.8579999999999997</v>
      </c>
      <c r="AM19" s="27">
        <f t="shared" ca="1" si="22"/>
        <v>8.1000000000000003E-2</v>
      </c>
      <c r="AN19" s="40">
        <f t="shared" ca="1" si="5"/>
        <v>0.189</v>
      </c>
      <c r="AO19" s="27">
        <f t="shared" ca="1" si="23"/>
        <v>0</v>
      </c>
      <c r="AP19" s="27">
        <f t="shared" ca="1" si="6"/>
        <v>2.75E-2</v>
      </c>
      <c r="AQ19" s="27">
        <f t="shared" ca="1" si="0"/>
        <v>0.24250000000000002</v>
      </c>
      <c r="AR19" s="27">
        <f t="shared" ca="1" si="7"/>
        <v>1</v>
      </c>
      <c r="AS19" s="27">
        <f t="shared" ca="1" si="8"/>
        <v>0</v>
      </c>
      <c r="AT19" s="28">
        <f t="shared" ca="1" si="30"/>
        <v>22.210485895768098</v>
      </c>
      <c r="AU19" s="27">
        <f t="shared" ca="1" si="9"/>
        <v>0</v>
      </c>
      <c r="AV19" s="51">
        <f t="shared" ca="1" si="24"/>
        <v>0</v>
      </c>
      <c r="AW19" s="51">
        <f t="shared" ca="1" si="31"/>
        <v>22.147177321410808</v>
      </c>
      <c r="AX19" s="27">
        <f t="shared" ca="1" si="25"/>
        <v>0</v>
      </c>
      <c r="AY19" s="54">
        <f t="shared" ca="1" si="32"/>
        <v>6.3308574357290121E-2</v>
      </c>
      <c r="AZ19" s="91">
        <f t="shared" si="26"/>
        <v>22.445221345503548</v>
      </c>
      <c r="BA19" s="33">
        <f t="shared" ca="1" si="10"/>
        <v>0</v>
      </c>
      <c r="BB19" s="33">
        <f t="shared" ca="1" si="33"/>
        <v>0.23473544973544858</v>
      </c>
    </row>
    <row r="20" spans="1:54" x14ac:dyDescent="0.25">
      <c r="A20" s="18">
        <v>42181</v>
      </c>
      <c r="B20">
        <v>3072.5113083674305</v>
      </c>
      <c r="D20" s="154">
        <v>42165</v>
      </c>
      <c r="E20" s="58">
        <f>B14</f>
        <v>3340.7615139956138</v>
      </c>
      <c r="L20" s="83">
        <f t="shared" si="11"/>
        <v>3340.7615139956138</v>
      </c>
      <c r="M20" s="68"/>
      <c r="N20" s="62">
        <v>42165</v>
      </c>
      <c r="O20" s="37">
        <f t="shared" si="12"/>
        <v>3340.7615139956138</v>
      </c>
      <c r="P20" s="85">
        <f t="shared" si="13"/>
        <v>4.8984772932487006</v>
      </c>
      <c r="Q20" s="85">
        <f t="shared" si="14"/>
        <v>124.42132324851698</v>
      </c>
      <c r="R20" s="84">
        <f t="shared" si="27"/>
        <v>18604.754471629032</v>
      </c>
      <c r="S20" s="86">
        <f t="shared" si="15"/>
        <v>0.4271063928289493</v>
      </c>
      <c r="T20" s="85">
        <f t="shared" si="16"/>
        <v>27.279698638752247</v>
      </c>
      <c r="U20" s="88">
        <f>LOOKUP(N20,'weather data'!$B$7:$B$158,'weather data'!$C$7:$C$158)</f>
        <v>0.52</v>
      </c>
      <c r="V20" s="88">
        <f t="shared" si="17"/>
        <v>0.41600000000000004</v>
      </c>
      <c r="W20" s="88">
        <f t="shared" si="28"/>
        <v>0.48000000000000004</v>
      </c>
      <c r="X20" s="79">
        <f>LOOKUP(N20,'weather data'!$B$7:$B$158,'weather data'!$E$7:$E$158)</f>
        <v>0.15</v>
      </c>
      <c r="Y20" s="6">
        <v>1</v>
      </c>
      <c r="Z20" s="6">
        <v>10</v>
      </c>
      <c r="AA20" s="95">
        <f t="shared" si="1"/>
        <v>13.223140495867769</v>
      </c>
      <c r="AB20" s="94">
        <f ca="1">FORECAST(AA20,OFFSET(Soils!$K$41:$K$57,MATCH(AA20,Soils!$J$41:$J$57,1)-1,0,2),OFFSET(Soils!$J$41:$J$57,MATCH(AA20,Soils!$J$41:$J$57,1)-1,0,2))</f>
        <v>0.25</v>
      </c>
      <c r="AC20" s="92">
        <f t="shared" ca="1" si="2"/>
        <v>1</v>
      </c>
      <c r="AD20" s="92">
        <f t="shared" ca="1" si="18"/>
        <v>0.25</v>
      </c>
      <c r="AE20" s="87">
        <f t="shared" ca="1" si="19"/>
        <v>3.7499999999999999E-2</v>
      </c>
      <c r="AF20" s="87">
        <f t="shared" ca="1" si="20"/>
        <v>3.7499999999999999E-2</v>
      </c>
      <c r="AG20" s="87">
        <f t="shared" ca="1" si="29"/>
        <v>0.29973544973544974</v>
      </c>
      <c r="AH20" s="56">
        <f ca="1">FORECAST(AA20,OFFSET(Soils!$L$41:$L$57,MATCH(AA20,Soils!$J$41:$J$57,1)-1,0,2),OFFSET(Soils!$J$41:$J$57,MATCH(AA20,Soils!$J$41:$J$57,1)-1,0,2))</f>
        <v>0</v>
      </c>
      <c r="AI20" s="27">
        <f t="shared" ca="1" si="3"/>
        <v>0.25</v>
      </c>
      <c r="AJ20" s="54"/>
      <c r="AK20" s="54">
        <f t="shared" ca="1" si="4"/>
        <v>0.27</v>
      </c>
      <c r="AL20" s="54">
        <f t="shared" ca="1" si="21"/>
        <v>6.8579999999999997</v>
      </c>
      <c r="AM20" s="27">
        <f t="shared" ca="1" si="22"/>
        <v>8.1000000000000003E-2</v>
      </c>
      <c r="AN20" s="40">
        <f t="shared" ca="1" si="5"/>
        <v>0.189</v>
      </c>
      <c r="AO20" s="27">
        <f t="shared" ca="1" si="23"/>
        <v>2.75E-2</v>
      </c>
      <c r="AP20" s="27">
        <f t="shared" ca="1" si="6"/>
        <v>0</v>
      </c>
      <c r="AQ20" s="27">
        <f t="shared" ca="1" si="0"/>
        <v>0.27</v>
      </c>
      <c r="AR20" s="27">
        <f t="shared" ca="1" si="7"/>
        <v>1</v>
      </c>
      <c r="AS20" s="27">
        <f t="shared" ca="1" si="8"/>
        <v>5.2494772932487015</v>
      </c>
      <c r="AT20" s="28">
        <f t="shared" ca="1" si="30"/>
        <v>27.459963189016801</v>
      </c>
      <c r="AU20" s="27">
        <f t="shared" ca="1" si="9"/>
        <v>4.8385652818707143</v>
      </c>
      <c r="AV20" s="51">
        <f t="shared" ca="1" si="24"/>
        <v>122.89955815951613</v>
      </c>
      <c r="AW20" s="51">
        <f t="shared" ca="1" si="31"/>
        <v>26.985742603281523</v>
      </c>
      <c r="AX20" s="27">
        <f t="shared" ca="1" si="25"/>
        <v>0.41091201137798633</v>
      </c>
      <c r="AY20" s="54">
        <f t="shared" ca="1" si="32"/>
        <v>0.47422058573527648</v>
      </c>
      <c r="AZ20" s="91">
        <f t="shared" si="26"/>
        <v>27.759698638752248</v>
      </c>
      <c r="BA20" s="33">
        <f t="shared" ca="1" si="10"/>
        <v>6.4999999999999503E-2</v>
      </c>
      <c r="BB20" s="33">
        <f t="shared" ca="1" si="33"/>
        <v>0.29973544973544808</v>
      </c>
    </row>
    <row r="21" spans="1:54" x14ac:dyDescent="0.25">
      <c r="A21" s="18">
        <v>42184</v>
      </c>
      <c r="B21">
        <v>22032.691157346289</v>
      </c>
      <c r="D21" s="154">
        <v>42166</v>
      </c>
      <c r="E21" s="58">
        <v>0</v>
      </c>
      <c r="L21" s="83">
        <f t="shared" si="11"/>
        <v>0</v>
      </c>
      <c r="M21" s="68"/>
      <c r="N21" s="62">
        <v>42166</v>
      </c>
      <c r="O21" s="37">
        <f t="shared" si="12"/>
        <v>0</v>
      </c>
      <c r="P21" s="85">
        <f t="shared" si="13"/>
        <v>0</v>
      </c>
      <c r="Q21" s="85">
        <f t="shared" si="14"/>
        <v>0</v>
      </c>
      <c r="R21" s="84">
        <f t="shared" si="27"/>
        <v>18604.754471629032</v>
      </c>
      <c r="S21" s="86">
        <f t="shared" si="15"/>
        <v>0.4271063928289493</v>
      </c>
      <c r="T21" s="85">
        <f t="shared" si="16"/>
        <v>27.279698638752247</v>
      </c>
      <c r="U21" s="88">
        <f>LOOKUP(N21,'weather data'!$B$7:$B$158,'weather data'!$C$7:$C$158)</f>
        <v>0.09</v>
      </c>
      <c r="V21" s="88">
        <f t="shared" si="17"/>
        <v>7.1999999999999995E-2</v>
      </c>
      <c r="W21" s="88">
        <f t="shared" si="28"/>
        <v>0.55200000000000005</v>
      </c>
      <c r="X21" s="79">
        <f>LOOKUP(N21,'weather data'!$B$7:$B$158,'weather data'!$E$7:$E$158)</f>
        <v>0.26</v>
      </c>
      <c r="Y21" s="6">
        <v>1</v>
      </c>
      <c r="Z21" s="6">
        <v>11</v>
      </c>
      <c r="AA21" s="95">
        <f t="shared" si="1"/>
        <v>14.545454545454545</v>
      </c>
      <c r="AB21" s="94">
        <f ca="1">FORECAST(AA21,OFFSET(Soils!$K$41:$K$57,MATCH(AA21,Soils!$J$41:$J$57,1)-1,0,2),OFFSET(Soils!$J$41:$J$57,MATCH(AA21,Soils!$J$41:$J$57,1)-1,0,2))</f>
        <v>0.25</v>
      </c>
      <c r="AC21" s="92">
        <f t="shared" ca="1" si="2"/>
        <v>1</v>
      </c>
      <c r="AD21" s="92">
        <f t="shared" ca="1" si="18"/>
        <v>0.25</v>
      </c>
      <c r="AE21" s="87">
        <f t="shared" ca="1" si="19"/>
        <v>6.5000000000000002E-2</v>
      </c>
      <c r="AF21" s="87">
        <f t="shared" ca="1" si="20"/>
        <v>6.5000000000000002E-2</v>
      </c>
      <c r="AG21" s="87">
        <f t="shared" ca="1" si="29"/>
        <v>0.36473544973544975</v>
      </c>
      <c r="AH21" s="56">
        <f ca="1">FORECAST(AA21,OFFSET(Soils!$L$41:$L$57,MATCH(AA21,Soils!$J$41:$J$57,1)-1,0,2),OFFSET(Soils!$J$41:$J$57,MATCH(AA21,Soils!$J$41:$J$57,1)-1,0,2))</f>
        <v>0</v>
      </c>
      <c r="AI21" s="27">
        <f t="shared" ca="1" si="3"/>
        <v>0.25</v>
      </c>
      <c r="AJ21" s="54"/>
      <c r="AK21" s="54">
        <f t="shared" ca="1" si="4"/>
        <v>0.27</v>
      </c>
      <c r="AL21" s="54">
        <f t="shared" ca="1" si="21"/>
        <v>6.8579999999999997</v>
      </c>
      <c r="AM21" s="27">
        <f t="shared" ca="1" si="22"/>
        <v>8.1000000000000003E-2</v>
      </c>
      <c r="AN21" s="40">
        <f t="shared" ca="1" si="5"/>
        <v>0.189</v>
      </c>
      <c r="AO21" s="27">
        <f t="shared" ca="1" si="23"/>
        <v>0</v>
      </c>
      <c r="AP21" s="27">
        <f t="shared" ca="1" si="6"/>
        <v>0</v>
      </c>
      <c r="AQ21" s="27">
        <f t="shared" ca="1" si="0"/>
        <v>0.27</v>
      </c>
      <c r="AR21" s="27">
        <f t="shared" ca="1" si="7"/>
        <v>1</v>
      </c>
      <c r="AS21" s="27">
        <f t="shared" ca="1" si="8"/>
        <v>6.9999999999999923E-3</v>
      </c>
      <c r="AT21" s="28">
        <f t="shared" ca="1" si="30"/>
        <v>27.466963189016802</v>
      </c>
      <c r="AU21" s="27">
        <f t="shared" ca="1" si="9"/>
        <v>0</v>
      </c>
      <c r="AV21" s="51">
        <f t="shared" ca="1" si="24"/>
        <v>0</v>
      </c>
      <c r="AW21" s="51">
        <f t="shared" ca="1" si="31"/>
        <v>26.985742603281523</v>
      </c>
      <c r="AX21" s="27">
        <f t="shared" ca="1" si="25"/>
        <v>6.9999999999999923E-3</v>
      </c>
      <c r="AY21" s="54">
        <f t="shared" ca="1" si="32"/>
        <v>0.48122058573527648</v>
      </c>
      <c r="AZ21" s="91">
        <f t="shared" si="26"/>
        <v>27.831698638752247</v>
      </c>
      <c r="BA21" s="33">
        <f t="shared" ca="1" si="10"/>
        <v>6.5000000000000002E-2</v>
      </c>
      <c r="BB21" s="33">
        <f t="shared" ca="1" si="33"/>
        <v>0.36473544973544808</v>
      </c>
    </row>
    <row r="22" spans="1:54" x14ac:dyDescent="0.25">
      <c r="A22" s="18">
        <v>42186</v>
      </c>
      <c r="B22">
        <v>2685.9889817706153</v>
      </c>
      <c r="D22" s="154">
        <v>42167</v>
      </c>
      <c r="E22" s="58">
        <v>0</v>
      </c>
      <c r="L22" s="83">
        <f t="shared" si="11"/>
        <v>0</v>
      </c>
      <c r="M22" s="68"/>
      <c r="N22" s="62">
        <v>42167</v>
      </c>
      <c r="O22" s="37">
        <f t="shared" si="12"/>
        <v>0</v>
      </c>
      <c r="P22" s="85">
        <f t="shared" si="13"/>
        <v>0</v>
      </c>
      <c r="Q22" s="85">
        <f t="shared" si="14"/>
        <v>0</v>
      </c>
      <c r="R22" s="84">
        <f t="shared" si="27"/>
        <v>18604.754471629032</v>
      </c>
      <c r="S22" s="86">
        <f t="shared" si="15"/>
        <v>0.4271063928289493</v>
      </c>
      <c r="T22" s="85">
        <f t="shared" si="16"/>
        <v>27.279698638752247</v>
      </c>
      <c r="U22" s="88">
        <f>LOOKUP(N22,'weather data'!$B$7:$B$158,'weather data'!$C$7:$C$158)</f>
        <v>0</v>
      </c>
      <c r="V22" s="88">
        <f t="shared" si="17"/>
        <v>0</v>
      </c>
      <c r="W22" s="88">
        <f t="shared" si="28"/>
        <v>0.55200000000000005</v>
      </c>
      <c r="X22" s="79">
        <f>LOOKUP(N22,'weather data'!$B$7:$B$158,'weather data'!$E$7:$E$158)</f>
        <v>0.26</v>
      </c>
      <c r="Y22" s="6">
        <v>1</v>
      </c>
      <c r="Z22" s="6">
        <v>12</v>
      </c>
      <c r="AA22" s="95">
        <f t="shared" si="1"/>
        <v>15.867768595041323</v>
      </c>
      <c r="AB22" s="94">
        <f ca="1">FORECAST(AA22,OFFSET(Soils!$K$41:$K$57,MATCH(AA22,Soils!$J$41:$J$57,1)-1,0,2),OFFSET(Soils!$J$41:$J$57,MATCH(AA22,Soils!$J$41:$J$57,1)-1,0,2))</f>
        <v>0.25</v>
      </c>
      <c r="AC22" s="92">
        <f t="shared" ca="1" si="2"/>
        <v>1</v>
      </c>
      <c r="AD22" s="92">
        <f t="shared" ca="1" si="18"/>
        <v>0.25</v>
      </c>
      <c r="AE22" s="87">
        <f t="shared" ca="1" si="19"/>
        <v>6.5000000000000002E-2</v>
      </c>
      <c r="AF22" s="87">
        <f t="shared" ca="1" si="20"/>
        <v>6.5000000000000002E-2</v>
      </c>
      <c r="AG22" s="87">
        <f t="shared" ca="1" si="29"/>
        <v>0.42973544973544975</v>
      </c>
      <c r="AH22" s="56">
        <f ca="1">FORECAST(AA22,OFFSET(Soils!$L$41:$L$57,MATCH(AA22,Soils!$J$41:$J$57,1)-1,0,2),OFFSET(Soils!$J$41:$J$57,MATCH(AA22,Soils!$J$41:$J$57,1)-1,0,2))</f>
        <v>0</v>
      </c>
      <c r="AI22" s="27">
        <f t="shared" ca="1" si="3"/>
        <v>0.25</v>
      </c>
      <c r="AJ22" s="54"/>
      <c r="AK22" s="54">
        <f t="shared" ca="1" si="4"/>
        <v>0.27</v>
      </c>
      <c r="AL22" s="54">
        <f t="shared" ca="1" si="21"/>
        <v>6.8579999999999997</v>
      </c>
      <c r="AM22" s="27">
        <f t="shared" ca="1" si="22"/>
        <v>8.1000000000000003E-2</v>
      </c>
      <c r="AN22" s="40">
        <f t="shared" ca="1" si="5"/>
        <v>0.189</v>
      </c>
      <c r="AO22" s="27">
        <f t="shared" ca="1" si="23"/>
        <v>0</v>
      </c>
      <c r="AP22" s="27">
        <f t="shared" ca="1" si="6"/>
        <v>6.5000000000000002E-2</v>
      </c>
      <c r="AQ22" s="27">
        <f t="shared" ca="1" si="0"/>
        <v>0.20500000000000002</v>
      </c>
      <c r="AR22" s="27">
        <f t="shared" ca="1" si="7"/>
        <v>1</v>
      </c>
      <c r="AS22" s="27">
        <f t="shared" ca="1" si="8"/>
        <v>0</v>
      </c>
      <c r="AT22" s="28">
        <f t="shared" ca="1" si="30"/>
        <v>27.466963189016802</v>
      </c>
      <c r="AU22" s="27">
        <f t="shared" ca="1" si="9"/>
        <v>0</v>
      </c>
      <c r="AV22" s="51">
        <f t="shared" ca="1" si="24"/>
        <v>0</v>
      </c>
      <c r="AW22" s="51">
        <f t="shared" ca="1" si="31"/>
        <v>26.985742603281523</v>
      </c>
      <c r="AX22" s="27">
        <f t="shared" ca="1" si="25"/>
        <v>0</v>
      </c>
      <c r="AY22" s="54">
        <f t="shared" ca="1" si="32"/>
        <v>0.48122058573527648</v>
      </c>
      <c r="AZ22" s="91">
        <f t="shared" si="26"/>
        <v>27.831698638752247</v>
      </c>
      <c r="BA22" s="33">
        <f t="shared" ca="1" si="10"/>
        <v>0</v>
      </c>
      <c r="BB22" s="33">
        <f t="shared" ca="1" si="33"/>
        <v>0.36473544973544808</v>
      </c>
    </row>
    <row r="23" spans="1:54" x14ac:dyDescent="0.25">
      <c r="A23" s="18">
        <v>42188</v>
      </c>
      <c r="B23">
        <v>2812.6839775335684</v>
      </c>
      <c r="D23" s="154">
        <v>42168</v>
      </c>
      <c r="E23" s="58">
        <v>0</v>
      </c>
      <c r="L23" s="83">
        <f t="shared" si="11"/>
        <v>0</v>
      </c>
      <c r="M23" s="68"/>
      <c r="N23" s="62">
        <v>42168</v>
      </c>
      <c r="O23" s="37">
        <f t="shared" si="12"/>
        <v>0</v>
      </c>
      <c r="P23" s="85">
        <f t="shared" si="13"/>
        <v>0</v>
      </c>
      <c r="Q23" s="85">
        <f t="shared" si="14"/>
        <v>0</v>
      </c>
      <c r="R23" s="84">
        <f t="shared" si="27"/>
        <v>18604.754471629032</v>
      </c>
      <c r="S23" s="86">
        <f t="shared" si="15"/>
        <v>0.4271063928289493</v>
      </c>
      <c r="T23" s="85">
        <f t="shared" si="16"/>
        <v>27.279698638752247</v>
      </c>
      <c r="U23" s="88">
        <f>LOOKUP(N23,'weather data'!$B$7:$B$158,'weather data'!$C$7:$C$158)</f>
        <v>0</v>
      </c>
      <c r="V23" s="88">
        <f t="shared" si="17"/>
        <v>0</v>
      </c>
      <c r="W23" s="88">
        <f t="shared" si="28"/>
        <v>0.55200000000000005</v>
      </c>
      <c r="X23" s="79">
        <f>LOOKUP(N23,'weather data'!$B$7:$B$158,'weather data'!$E$7:$E$158)</f>
        <v>0.27</v>
      </c>
      <c r="Y23" s="6">
        <v>1</v>
      </c>
      <c r="Z23" s="6">
        <v>13</v>
      </c>
      <c r="AA23" s="95">
        <f t="shared" si="1"/>
        <v>17.190082644628099</v>
      </c>
      <c r="AB23" s="94">
        <f ca="1">FORECAST(AA23,OFFSET(Soils!$K$41:$K$57,MATCH(AA23,Soils!$J$41:$J$57,1)-1,0,2),OFFSET(Soils!$J$41:$J$57,MATCH(AA23,Soils!$J$41:$J$57,1)-1,0,2))</f>
        <v>0.25</v>
      </c>
      <c r="AC23" s="92">
        <f t="shared" ca="1" si="2"/>
        <v>1</v>
      </c>
      <c r="AD23" s="92">
        <f t="shared" ca="1" si="18"/>
        <v>0.25</v>
      </c>
      <c r="AE23" s="87">
        <f t="shared" ca="1" si="19"/>
        <v>6.7500000000000004E-2</v>
      </c>
      <c r="AF23" s="87">
        <f t="shared" ca="1" si="20"/>
        <v>6.7500000000000004E-2</v>
      </c>
      <c r="AG23" s="87">
        <f t="shared" ca="1" si="29"/>
        <v>0.49723544973544975</v>
      </c>
      <c r="AH23" s="56">
        <f ca="1">FORECAST(AA23,OFFSET(Soils!$L$41:$L$57,MATCH(AA23,Soils!$J$41:$J$57,1)-1,0,2),OFFSET(Soils!$J$41:$J$57,MATCH(AA23,Soils!$J$41:$J$57,1)-1,0,2))</f>
        <v>0</v>
      </c>
      <c r="AI23" s="27">
        <f t="shared" ca="1" si="3"/>
        <v>0.25</v>
      </c>
      <c r="AJ23" s="54"/>
      <c r="AK23" s="54">
        <f t="shared" ca="1" si="4"/>
        <v>0.27</v>
      </c>
      <c r="AL23" s="54">
        <f t="shared" ca="1" si="21"/>
        <v>6.8579999999999997</v>
      </c>
      <c r="AM23" s="27">
        <f t="shared" ca="1" si="22"/>
        <v>8.1000000000000003E-2</v>
      </c>
      <c r="AN23" s="40">
        <f t="shared" ca="1" si="5"/>
        <v>0.189</v>
      </c>
      <c r="AO23" s="27">
        <f t="shared" ca="1" si="23"/>
        <v>6.5000000000000002E-2</v>
      </c>
      <c r="AP23" s="27">
        <f t="shared" ca="1" si="6"/>
        <v>0.13250000000000001</v>
      </c>
      <c r="AQ23" s="27">
        <f t="shared" ca="1" si="0"/>
        <v>0.13750000000000001</v>
      </c>
      <c r="AR23" s="27">
        <f t="shared" ca="1" si="7"/>
        <v>1</v>
      </c>
      <c r="AS23" s="27">
        <f t="shared" ca="1" si="8"/>
        <v>0</v>
      </c>
      <c r="AT23" s="28">
        <f t="shared" ca="1" si="30"/>
        <v>27.466963189016802</v>
      </c>
      <c r="AU23" s="27">
        <f t="shared" ca="1" si="9"/>
        <v>0</v>
      </c>
      <c r="AV23" s="51">
        <f t="shared" ca="1" si="24"/>
        <v>0</v>
      </c>
      <c r="AW23" s="51">
        <f t="shared" ca="1" si="31"/>
        <v>26.985742603281523</v>
      </c>
      <c r="AX23" s="27">
        <f t="shared" ca="1" si="25"/>
        <v>0</v>
      </c>
      <c r="AY23" s="54">
        <f t="shared" ca="1" si="32"/>
        <v>0.48122058573527648</v>
      </c>
      <c r="AZ23" s="91">
        <f t="shared" si="26"/>
        <v>27.831698638752247</v>
      </c>
      <c r="BA23" s="33">
        <f t="shared" ca="1" si="10"/>
        <v>0</v>
      </c>
      <c r="BB23" s="33">
        <f t="shared" ca="1" si="33"/>
        <v>0.36473544973544808</v>
      </c>
    </row>
    <row r="24" spans="1:54" x14ac:dyDescent="0.25">
      <c r="A24" s="18">
        <v>42195</v>
      </c>
      <c r="B24">
        <v>2561.473770865317</v>
      </c>
      <c r="D24" s="154">
        <v>42169</v>
      </c>
      <c r="E24" s="58">
        <v>0</v>
      </c>
      <c r="L24" s="83">
        <f t="shared" si="11"/>
        <v>0</v>
      </c>
      <c r="M24" s="68"/>
      <c r="N24" s="62">
        <v>42169</v>
      </c>
      <c r="O24" s="37">
        <f t="shared" si="12"/>
        <v>0</v>
      </c>
      <c r="P24" s="85">
        <f t="shared" si="13"/>
        <v>0</v>
      </c>
      <c r="Q24" s="85">
        <f t="shared" si="14"/>
        <v>0</v>
      </c>
      <c r="R24" s="84">
        <f t="shared" si="27"/>
        <v>18604.754471629032</v>
      </c>
      <c r="S24" s="86">
        <f t="shared" si="15"/>
        <v>0.4271063928289493</v>
      </c>
      <c r="T24" s="85">
        <f t="shared" si="16"/>
        <v>27.279698638752247</v>
      </c>
      <c r="U24" s="88">
        <f>LOOKUP(N24,'weather data'!$B$7:$B$158,'weather data'!$C$7:$C$158)</f>
        <v>0</v>
      </c>
      <c r="V24" s="88">
        <f t="shared" si="17"/>
        <v>0</v>
      </c>
      <c r="W24" s="88">
        <f t="shared" si="28"/>
        <v>0.55200000000000005</v>
      </c>
      <c r="X24" s="79">
        <f>LOOKUP(N24,'weather data'!$B$7:$B$158,'weather data'!$E$7:$E$158)</f>
        <v>0.25</v>
      </c>
      <c r="Y24" s="6">
        <v>1</v>
      </c>
      <c r="Z24" s="6">
        <v>14</v>
      </c>
      <c r="AA24" s="95">
        <f t="shared" si="1"/>
        <v>18.512396694214875</v>
      </c>
      <c r="AB24" s="94">
        <f ca="1">FORECAST(AA24,OFFSET(Soils!$K$41:$K$57,MATCH(AA24,Soils!$J$41:$J$57,1)-1,0,2),OFFSET(Soils!$J$41:$J$57,MATCH(AA24,Soils!$J$41:$J$57,1)-1,0,2))</f>
        <v>0.25</v>
      </c>
      <c r="AC24" s="92">
        <f t="shared" ca="1" si="2"/>
        <v>0.72751322751322756</v>
      </c>
      <c r="AD24" s="92">
        <f t="shared" ca="1" si="18"/>
        <v>0.18187830687830689</v>
      </c>
      <c r="AE24" s="87">
        <f t="shared" ca="1" si="19"/>
        <v>6.25E-2</v>
      </c>
      <c r="AF24" s="87">
        <f t="shared" ca="1" si="20"/>
        <v>4.5469576719576722E-2</v>
      </c>
      <c r="AG24" s="87">
        <f t="shared" ca="1" si="29"/>
        <v>0.5427050264550265</v>
      </c>
      <c r="AH24" s="56">
        <f ca="1">FORECAST(AA24,OFFSET(Soils!$L$41:$L$57,MATCH(AA24,Soils!$J$41:$J$57,1)-1,0,2),OFFSET(Soils!$J$41:$J$57,MATCH(AA24,Soils!$J$41:$J$57,1)-1,0,2))</f>
        <v>0</v>
      </c>
      <c r="AI24" s="27">
        <f t="shared" ca="1" si="3"/>
        <v>0.25</v>
      </c>
      <c r="AJ24" s="54"/>
      <c r="AK24" s="54">
        <f t="shared" ca="1" si="4"/>
        <v>0.27</v>
      </c>
      <c r="AL24" s="54">
        <f t="shared" ca="1" si="21"/>
        <v>6.8579999999999997</v>
      </c>
      <c r="AM24" s="27">
        <f t="shared" ca="1" si="22"/>
        <v>8.1000000000000003E-2</v>
      </c>
      <c r="AN24" s="40">
        <f t="shared" ca="1" si="5"/>
        <v>0.189</v>
      </c>
      <c r="AO24" s="27">
        <f t="shared" ca="1" si="23"/>
        <v>0.13250000000000001</v>
      </c>
      <c r="AP24" s="27">
        <f t="shared" ca="1" si="6"/>
        <v>0.17796957671957672</v>
      </c>
      <c r="AQ24" s="27">
        <f t="shared" ca="1" si="0"/>
        <v>9.2030423280423296E-2</v>
      </c>
      <c r="AR24" s="27">
        <f t="shared" ca="1" si="7"/>
        <v>0.72751322751322756</v>
      </c>
      <c r="AS24" s="27">
        <f t="shared" ca="1" si="8"/>
        <v>0</v>
      </c>
      <c r="AT24" s="28">
        <f t="shared" ca="1" si="30"/>
        <v>27.466963189016802</v>
      </c>
      <c r="AU24" s="27">
        <f t="shared" ca="1" si="9"/>
        <v>0</v>
      </c>
      <c r="AV24" s="51">
        <f t="shared" ca="1" si="24"/>
        <v>0</v>
      </c>
      <c r="AW24" s="51">
        <f t="shared" ca="1" si="31"/>
        <v>26.985742603281523</v>
      </c>
      <c r="AX24" s="27">
        <f t="shared" ca="1" si="25"/>
        <v>0</v>
      </c>
      <c r="AY24" s="54">
        <f t="shared" ca="1" si="32"/>
        <v>0.48122058573527648</v>
      </c>
      <c r="AZ24" s="91">
        <f t="shared" si="26"/>
        <v>27.831698638752247</v>
      </c>
      <c r="BA24" s="33">
        <f t="shared" ca="1" si="10"/>
        <v>0</v>
      </c>
      <c r="BB24" s="33">
        <f t="shared" ca="1" si="33"/>
        <v>0.36473544973544808</v>
      </c>
    </row>
    <row r="25" spans="1:54" x14ac:dyDescent="0.25">
      <c r="A25" s="18">
        <v>42200</v>
      </c>
      <c r="B25">
        <v>2812.6839775335679</v>
      </c>
      <c r="D25" s="154">
        <v>42170</v>
      </c>
      <c r="E25" s="58">
        <f>B15</f>
        <v>5637.8092716251222</v>
      </c>
      <c r="L25" s="83">
        <f t="shared" si="11"/>
        <v>5637.8092716251222</v>
      </c>
      <c r="M25" s="68"/>
      <c r="N25" s="62">
        <v>42170</v>
      </c>
      <c r="O25" s="37">
        <f t="shared" si="12"/>
        <v>5637.8092716251222</v>
      </c>
      <c r="P25" s="85">
        <f t="shared" si="13"/>
        <v>8.2665825097142562</v>
      </c>
      <c r="Q25" s="85">
        <f t="shared" si="14"/>
        <v>209.9711957467421</v>
      </c>
      <c r="R25" s="84">
        <f t="shared" si="27"/>
        <v>24242.563743254155</v>
      </c>
      <c r="S25" s="86">
        <f t="shared" si="15"/>
        <v>0.55653268464770789</v>
      </c>
      <c r="T25" s="85">
        <f t="shared" si="16"/>
        <v>35.546281148466505</v>
      </c>
      <c r="U25" s="88">
        <f>LOOKUP(N25,'weather data'!$B$7:$B$158,'weather data'!$C$7:$C$158)</f>
        <v>0</v>
      </c>
      <c r="V25" s="88">
        <f t="shared" si="17"/>
        <v>0</v>
      </c>
      <c r="W25" s="88">
        <f t="shared" si="28"/>
        <v>0.55200000000000005</v>
      </c>
      <c r="X25" s="79">
        <f>LOOKUP(N25,'weather data'!$B$7:$B$158,'weather data'!$E$7:$E$158)</f>
        <v>0.35</v>
      </c>
      <c r="Y25" s="6">
        <v>1</v>
      </c>
      <c r="Z25" s="6">
        <v>15</v>
      </c>
      <c r="AA25" s="95">
        <f t="shared" si="1"/>
        <v>19.834710743801654</v>
      </c>
      <c r="AB25" s="94">
        <f ca="1">FORECAST(AA25,OFFSET(Soils!$K$41:$K$57,MATCH(AA25,Soils!$J$41:$J$57,1)-1,0,2),OFFSET(Soils!$J$41:$J$57,MATCH(AA25,Soils!$J$41:$J$57,1)-1,0,2))</f>
        <v>0.25</v>
      </c>
      <c r="AC25" s="92">
        <f t="shared" ref="AC25:AC88" ca="1" si="34">IF(AO25&lt;=AM25,1,(AK25-AO25)/(AK25-AM25))</f>
        <v>0.48693345651017617</v>
      </c>
      <c r="AD25" s="92">
        <f t="shared" ca="1" si="18"/>
        <v>0.12173336412754404</v>
      </c>
      <c r="AE25" s="87">
        <f t="shared" ca="1" si="19"/>
        <v>8.7499999999999994E-2</v>
      </c>
      <c r="AF25" s="87">
        <f t="shared" ref="AF25:AF88" ca="1" si="35">AC25*AE25</f>
        <v>4.260667744464041E-2</v>
      </c>
      <c r="AG25" s="87">
        <f t="shared" ref="AG25:AG88" ca="1" si="36">AF25+AG24</f>
        <v>0.58531170389966691</v>
      </c>
      <c r="AH25" s="56">
        <f ca="1">FORECAST(AA25,OFFSET(Soils!$L$41:$L$57,MATCH(AA25,Soils!$J$41:$J$57,1)-1,0,2),OFFSET(Soils!$J$41:$J$57,MATCH(AA25,Soils!$J$41:$J$57,1)-1,0,2))</f>
        <v>0</v>
      </c>
      <c r="AI25" s="27">
        <f t="shared" ca="1" si="3"/>
        <v>0.25</v>
      </c>
      <c r="AJ25" s="54"/>
      <c r="AK25" s="54">
        <f t="shared" ca="1" si="4"/>
        <v>0.27</v>
      </c>
      <c r="AL25" s="54">
        <f t="shared" ca="1" si="21"/>
        <v>6.8579999999999997</v>
      </c>
      <c r="AM25" s="27">
        <f t="shared" ref="AM25:AM88" ca="1" si="37">AK25*$B$4</f>
        <v>8.1000000000000003E-2</v>
      </c>
      <c r="AN25" s="40">
        <f t="shared" ref="AN25:AN88" ca="1" si="38">AK25-AM25</f>
        <v>0.189</v>
      </c>
      <c r="AO25" s="27">
        <f t="shared" ref="AO25:AO88" ca="1" si="39">AP24</f>
        <v>0.17796957671957672</v>
      </c>
      <c r="AP25" s="27">
        <f t="shared" ca="1" si="6"/>
        <v>0</v>
      </c>
      <c r="AQ25" s="27">
        <f t="shared" ref="AQ25:AQ88" ca="1" si="40">AK25-AP25</f>
        <v>0.27</v>
      </c>
      <c r="AR25" s="27">
        <f t="shared" ref="AR25:AR88" ca="1" si="41">IF(AE25=0,"",AF25/AE25)</f>
        <v>0.48693345651017617</v>
      </c>
      <c r="AS25" s="27">
        <f t="shared" ca="1" si="8"/>
        <v>8.04600625555004</v>
      </c>
      <c r="AT25" s="28">
        <f t="shared" ref="AT25:AT88" ca="1" si="42">AS25+AT24</f>
        <v>35.512969444566842</v>
      </c>
      <c r="AU25" s="27">
        <f t="shared" ca="1" si="9"/>
        <v>8.04600625555004</v>
      </c>
      <c r="AV25" s="51">
        <f t="shared" ca="1" si="24"/>
        <v>204.368558890971</v>
      </c>
      <c r="AW25" s="51">
        <f t="shared" ref="AW25:AW88" ca="1" si="43">AU25+AW24</f>
        <v>35.031748858831563</v>
      </c>
      <c r="AX25" s="27">
        <f t="shared" ca="1" si="25"/>
        <v>0</v>
      </c>
      <c r="AY25" s="54">
        <f t="shared" ref="AY25:AY88" ca="1" si="44">AX25+AY24</f>
        <v>0.48122058573527648</v>
      </c>
      <c r="AZ25" s="91">
        <f t="shared" si="26"/>
        <v>36.098281148466505</v>
      </c>
      <c r="BA25" s="33">
        <f t="shared" ca="1" si="10"/>
        <v>0.22057625416421622</v>
      </c>
      <c r="BB25" s="33">
        <f t="shared" ref="BB25:BB88" ca="1" si="45">BA25+BB24</f>
        <v>0.58531170389966425</v>
      </c>
    </row>
    <row r="26" spans="1:54" x14ac:dyDescent="0.25">
      <c r="A26" s="18">
        <v>42202</v>
      </c>
      <c r="B26">
        <v>2941.5329999321875</v>
      </c>
      <c r="D26" s="154">
        <v>42171</v>
      </c>
      <c r="E26" s="58">
        <v>0</v>
      </c>
      <c r="L26" s="83">
        <f t="shared" si="11"/>
        <v>0</v>
      </c>
      <c r="M26" s="68"/>
      <c r="N26" s="62">
        <v>42171</v>
      </c>
      <c r="O26" s="37">
        <f t="shared" si="12"/>
        <v>0</v>
      </c>
      <c r="P26" s="85">
        <f t="shared" si="13"/>
        <v>0</v>
      </c>
      <c r="Q26" s="85">
        <f t="shared" si="14"/>
        <v>0</v>
      </c>
      <c r="R26" s="84">
        <f t="shared" si="27"/>
        <v>24242.563743254155</v>
      </c>
      <c r="S26" s="86">
        <f t="shared" si="15"/>
        <v>0.55653268464770789</v>
      </c>
      <c r="T26" s="85">
        <f t="shared" si="16"/>
        <v>35.546281148466505</v>
      </c>
      <c r="U26" s="88">
        <f>LOOKUP(N26,'weather data'!$B$7:$B$158,'weather data'!$C$7:$C$158)</f>
        <v>0</v>
      </c>
      <c r="V26" s="88">
        <f t="shared" si="17"/>
        <v>0</v>
      </c>
      <c r="W26" s="88">
        <f t="shared" si="28"/>
        <v>0.55200000000000005</v>
      </c>
      <c r="X26" s="79">
        <f>LOOKUP(N26,'weather data'!$B$7:$B$158,'weather data'!$E$7:$E$158)</f>
        <v>0.28999999999999998</v>
      </c>
      <c r="Y26" s="6">
        <v>1</v>
      </c>
      <c r="Z26" s="6">
        <v>16</v>
      </c>
      <c r="AA26" s="95">
        <f t="shared" si="1"/>
        <v>21.15702479338843</v>
      </c>
      <c r="AB26" s="94">
        <f ca="1">FORECAST(AA26,OFFSET(Soils!$K$41:$K$57,MATCH(AA26,Soils!$J$41:$J$57,1)-1,0,2),OFFSET(Soils!$J$41:$J$57,MATCH(AA26,Soils!$J$41:$J$57,1)-1,0,2))</f>
        <v>0.25347107438016531</v>
      </c>
      <c r="AC26" s="92">
        <f t="shared" ca="1" si="34"/>
        <v>1</v>
      </c>
      <c r="AD26" s="92">
        <f t="shared" ca="1" si="18"/>
        <v>0.25347107438016531</v>
      </c>
      <c r="AE26" s="87">
        <f t="shared" ca="1" si="19"/>
        <v>7.3506611570247932E-2</v>
      </c>
      <c r="AF26" s="87">
        <f t="shared" ca="1" si="35"/>
        <v>7.3506611570247932E-2</v>
      </c>
      <c r="AG26" s="87">
        <f t="shared" ca="1" si="36"/>
        <v>0.65881831546991487</v>
      </c>
      <c r="AH26" s="56">
        <f ca="1">FORECAST(AA26,OFFSET(Soils!$L$41:$L$57,MATCH(AA26,Soils!$J$41:$J$57,1)-1,0,2),OFFSET(Soils!$J$41:$J$57,MATCH(AA26,Soils!$J$41:$J$57,1)-1,0,2))</f>
        <v>6.0896041757285829E-3</v>
      </c>
      <c r="AI26" s="27">
        <f t="shared" ca="1" si="3"/>
        <v>0.260656807307525</v>
      </c>
      <c r="AJ26" s="54"/>
      <c r="AK26" s="54">
        <f t="shared" ca="1" si="4"/>
        <v>0.281509351892127</v>
      </c>
      <c r="AL26" s="54">
        <f t="shared" ca="1" si="21"/>
        <v>7.1503375380600254</v>
      </c>
      <c r="AM26" s="27">
        <f t="shared" ca="1" si="37"/>
        <v>8.4452805567638095E-2</v>
      </c>
      <c r="AN26" s="40">
        <f t="shared" ca="1" si="38"/>
        <v>0.19705654632448891</v>
      </c>
      <c r="AO26" s="27">
        <f t="shared" ca="1" si="39"/>
        <v>0</v>
      </c>
      <c r="AP26" s="27">
        <f t="shared" ca="1" si="6"/>
        <v>7.3506611570247932E-2</v>
      </c>
      <c r="AQ26" s="27">
        <f t="shared" ca="1" si="40"/>
        <v>0.20800274032187907</v>
      </c>
      <c r="AR26" s="27">
        <f t="shared" ca="1" si="41"/>
        <v>1</v>
      </c>
      <c r="AS26" s="27">
        <f t="shared" ca="1" si="8"/>
        <v>0</v>
      </c>
      <c r="AT26" s="28">
        <f t="shared" ca="1" si="42"/>
        <v>35.512969444566842</v>
      </c>
      <c r="AU26" s="27">
        <f t="shared" ca="1" si="9"/>
        <v>0</v>
      </c>
      <c r="AV26" s="51">
        <f t="shared" ca="1" si="24"/>
        <v>0</v>
      </c>
      <c r="AW26" s="51">
        <f t="shared" ca="1" si="43"/>
        <v>35.031748858831563</v>
      </c>
      <c r="AX26" s="27">
        <f t="shared" ca="1" si="25"/>
        <v>0</v>
      </c>
      <c r="AY26" s="54">
        <f t="shared" ca="1" si="44"/>
        <v>0.48122058573527648</v>
      </c>
      <c r="AZ26" s="91">
        <f t="shared" si="26"/>
        <v>36.098281148466505</v>
      </c>
      <c r="BA26" s="33">
        <f t="shared" ca="1" si="10"/>
        <v>0</v>
      </c>
      <c r="BB26" s="33">
        <f t="shared" ca="1" si="45"/>
        <v>0.58531170389966425</v>
      </c>
    </row>
    <row r="27" spans="1:54" x14ac:dyDescent="0.25">
      <c r="A27" s="18">
        <v>42209</v>
      </c>
      <c r="B27">
        <v>2812.6839775335684</v>
      </c>
      <c r="D27" s="154">
        <v>42172</v>
      </c>
      <c r="E27" s="58">
        <f>B16</f>
        <v>3205.5951130096787</v>
      </c>
      <c r="L27" s="83">
        <f t="shared" si="11"/>
        <v>3205.5951130096787</v>
      </c>
      <c r="M27" s="68"/>
      <c r="N27" s="62">
        <v>42172</v>
      </c>
      <c r="O27" s="37">
        <f t="shared" si="12"/>
        <v>3205.5951130096787</v>
      </c>
      <c r="P27" s="85">
        <f t="shared" si="13"/>
        <v>4.7002860894570073</v>
      </c>
      <c r="Q27" s="85">
        <f t="shared" si="14"/>
        <v>119.38726667220799</v>
      </c>
      <c r="R27" s="84">
        <f t="shared" si="27"/>
        <v>27448.158856263835</v>
      </c>
      <c r="S27" s="86">
        <f t="shared" si="15"/>
        <v>0.63012302241193374</v>
      </c>
      <c r="T27" s="85">
        <f t="shared" si="16"/>
        <v>40.246567237923507</v>
      </c>
      <c r="U27" s="88">
        <f>LOOKUP(N27,'weather data'!$B$7:$B$158,'weather data'!$C$7:$C$158)</f>
        <v>0</v>
      </c>
      <c r="V27" s="88">
        <f t="shared" si="17"/>
        <v>0</v>
      </c>
      <c r="W27" s="88">
        <f t="shared" si="28"/>
        <v>0.55200000000000005</v>
      </c>
      <c r="X27" s="79">
        <f>LOOKUP(N27,'weather data'!$B$7:$B$158,'weather data'!$E$7:$E$158)</f>
        <v>0.3</v>
      </c>
      <c r="Y27" s="6">
        <v>1</v>
      </c>
      <c r="Z27" s="6">
        <v>17</v>
      </c>
      <c r="AA27" s="95">
        <f t="shared" si="1"/>
        <v>22.479338842975206</v>
      </c>
      <c r="AB27" s="94">
        <f ca="1">FORECAST(AA27,OFFSET(Soils!$K$41:$K$57,MATCH(AA27,Soils!$J$41:$J$57,1)-1,0,2),OFFSET(Soils!$J$41:$J$57,MATCH(AA27,Soils!$J$41:$J$57,1)-1,0,2))</f>
        <v>0.25743801652892562</v>
      </c>
      <c r="AC27" s="92">
        <f t="shared" ca="1" si="34"/>
        <v>1</v>
      </c>
      <c r="AD27" s="92">
        <f t="shared" ca="1" si="18"/>
        <v>0.25743801652892562</v>
      </c>
      <c r="AE27" s="87">
        <f t="shared" ca="1" si="19"/>
        <v>7.7231404958677682E-2</v>
      </c>
      <c r="AF27" s="87">
        <f t="shared" ca="1" si="35"/>
        <v>7.7231404958677682E-2</v>
      </c>
      <c r="AG27" s="87">
        <f t="shared" ca="1" si="36"/>
        <v>0.73604972042859251</v>
      </c>
      <c r="AH27" s="56">
        <f ca="1">FORECAST(AA27,OFFSET(Soils!$L$41:$L$57,MATCH(AA27,Soils!$J$41:$J$57,1)-1,0,2),OFFSET(Soils!$J$41:$J$57,MATCH(AA27,Soils!$J$41:$J$57,1)-1,0,2))</f>
        <v>1.3049151805132678E-2</v>
      </c>
      <c r="AI27" s="27">
        <f t="shared" ca="1" si="3"/>
        <v>0.27283601565898219</v>
      </c>
      <c r="AJ27" s="54"/>
      <c r="AK27" s="54">
        <f t="shared" ca="1" si="4"/>
        <v>0.29466289691170078</v>
      </c>
      <c r="AL27" s="54">
        <f t="shared" ca="1" si="21"/>
        <v>7.4844375815571995</v>
      </c>
      <c r="AM27" s="27">
        <f t="shared" ca="1" si="37"/>
        <v>8.8398869073510231E-2</v>
      </c>
      <c r="AN27" s="40">
        <f t="shared" ca="1" si="38"/>
        <v>0.20626402783819053</v>
      </c>
      <c r="AO27" s="27">
        <f t="shared" ca="1" si="39"/>
        <v>7.3506611570247932E-2</v>
      </c>
      <c r="AP27" s="27">
        <f t="shared" ca="1" si="6"/>
        <v>0</v>
      </c>
      <c r="AQ27" s="27">
        <f t="shared" ca="1" si="40"/>
        <v>0.29466289691170078</v>
      </c>
      <c r="AR27" s="27">
        <f t="shared" ca="1" si="41"/>
        <v>1</v>
      </c>
      <c r="AS27" s="27">
        <f t="shared" ca="1" si="8"/>
        <v>4.5495480729280819</v>
      </c>
      <c r="AT27" s="28">
        <f t="shared" ca="1" si="42"/>
        <v>40.062517517494925</v>
      </c>
      <c r="AU27" s="27">
        <f t="shared" ca="1" si="9"/>
        <v>4.5495480729280819</v>
      </c>
      <c r="AV27" s="51">
        <f t="shared" ca="1" si="24"/>
        <v>115.55852105237328</v>
      </c>
      <c r="AW27" s="51">
        <f t="shared" ca="1" si="43"/>
        <v>39.581296931759645</v>
      </c>
      <c r="AX27" s="27">
        <f t="shared" ca="1" si="25"/>
        <v>0</v>
      </c>
      <c r="AY27" s="54">
        <f t="shared" ca="1" si="44"/>
        <v>0.48122058573527648</v>
      </c>
      <c r="AZ27" s="91">
        <f t="shared" si="26"/>
        <v>40.798567237923514</v>
      </c>
      <c r="BA27" s="33">
        <f t="shared" ca="1" si="10"/>
        <v>0.15073801652892538</v>
      </c>
      <c r="BB27" s="33">
        <f t="shared" ca="1" si="45"/>
        <v>0.73604972042858963</v>
      </c>
    </row>
    <row r="28" spans="1:54" x14ac:dyDescent="0.25">
      <c r="A28" s="18">
        <v>42212</v>
      </c>
      <c r="B28">
        <v>4482.5790990143059</v>
      </c>
      <c r="D28" s="154">
        <v>42173</v>
      </c>
      <c r="E28" s="58">
        <v>0</v>
      </c>
      <c r="L28" s="83">
        <f t="shared" si="11"/>
        <v>0</v>
      </c>
      <c r="M28" s="68"/>
      <c r="N28" s="62">
        <v>42173</v>
      </c>
      <c r="O28" s="37">
        <f t="shared" si="12"/>
        <v>0</v>
      </c>
      <c r="P28" s="85">
        <f t="shared" si="13"/>
        <v>0</v>
      </c>
      <c r="Q28" s="85">
        <f t="shared" si="14"/>
        <v>0</v>
      </c>
      <c r="R28" s="84">
        <f t="shared" si="27"/>
        <v>27448.158856263835</v>
      </c>
      <c r="S28" s="86">
        <f t="shared" si="15"/>
        <v>0.63012302241193374</v>
      </c>
      <c r="T28" s="85">
        <f t="shared" si="16"/>
        <v>40.246567237923507</v>
      </c>
      <c r="U28" s="88">
        <f>LOOKUP(N28,'weather data'!$B$7:$B$158,'weather data'!$C$7:$C$158)</f>
        <v>0</v>
      </c>
      <c r="V28" s="88">
        <f t="shared" si="17"/>
        <v>0</v>
      </c>
      <c r="W28" s="88">
        <f t="shared" si="28"/>
        <v>0.55200000000000005</v>
      </c>
      <c r="X28" s="79">
        <f>LOOKUP(N28,'weather data'!$B$7:$B$158,'weather data'!$E$7:$E$158)</f>
        <v>0.32</v>
      </c>
      <c r="Y28" s="6">
        <v>1</v>
      </c>
      <c r="Z28" s="6">
        <v>18</v>
      </c>
      <c r="AA28" s="95">
        <f t="shared" si="1"/>
        <v>23.801652892561982</v>
      </c>
      <c r="AB28" s="94">
        <f ca="1">FORECAST(AA28,OFFSET(Soils!$K$41:$K$57,MATCH(AA28,Soils!$J$41:$J$57,1)-1,0,2),OFFSET(Soils!$J$41:$J$57,MATCH(AA28,Soils!$J$41:$J$57,1)-1,0,2))</f>
        <v>0.26140495867768598</v>
      </c>
      <c r="AC28" s="92">
        <f t="shared" ca="1" si="34"/>
        <v>1</v>
      </c>
      <c r="AD28" s="92">
        <f t="shared" ca="1" si="18"/>
        <v>0.26140495867768598</v>
      </c>
      <c r="AE28" s="87">
        <f t="shared" ca="1" si="19"/>
        <v>8.3649586776859519E-2</v>
      </c>
      <c r="AF28" s="87">
        <f t="shared" ca="1" si="35"/>
        <v>8.3649586776859519E-2</v>
      </c>
      <c r="AG28" s="87">
        <f t="shared" ca="1" si="36"/>
        <v>0.81969930720545203</v>
      </c>
      <c r="AH28" s="56">
        <f ca="1">FORECAST(AA28,OFFSET(Soils!$L$41:$L$57,MATCH(AA28,Soils!$J$41:$J$57,1)-1,0,2),OFFSET(Soils!$J$41:$J$57,MATCH(AA28,Soils!$J$41:$J$57,1)-1,0,2))</f>
        <v>2.0008699434536759E-2</v>
      </c>
      <c r="AI28" s="27">
        <f t="shared" ca="1" si="3"/>
        <v>0.28501522401043933</v>
      </c>
      <c r="AJ28" s="54"/>
      <c r="AK28" s="54">
        <f t="shared" ca="1" si="4"/>
        <v>0.3078164419312745</v>
      </c>
      <c r="AL28" s="54">
        <f t="shared" ca="1" si="21"/>
        <v>7.8185376250543719</v>
      </c>
      <c r="AM28" s="27">
        <f t="shared" ca="1" si="37"/>
        <v>9.2344932579382352E-2</v>
      </c>
      <c r="AN28" s="40">
        <f t="shared" ca="1" si="38"/>
        <v>0.21547150935189213</v>
      </c>
      <c r="AO28" s="27">
        <f t="shared" ca="1" si="39"/>
        <v>0</v>
      </c>
      <c r="AP28" s="27">
        <f t="shared" ca="1" si="6"/>
        <v>8.3649586776859519E-2</v>
      </c>
      <c r="AQ28" s="27">
        <f t="shared" ca="1" si="40"/>
        <v>0.22416685515441498</v>
      </c>
      <c r="AR28" s="27">
        <f t="shared" ca="1" si="41"/>
        <v>1</v>
      </c>
      <c r="AS28" s="27">
        <f t="shared" ca="1" si="8"/>
        <v>0</v>
      </c>
      <c r="AT28" s="28">
        <f t="shared" ca="1" si="42"/>
        <v>40.062517517494925</v>
      </c>
      <c r="AU28" s="27">
        <f t="shared" ca="1" si="9"/>
        <v>0</v>
      </c>
      <c r="AV28" s="51">
        <f t="shared" ca="1" si="24"/>
        <v>0</v>
      </c>
      <c r="AW28" s="51">
        <f t="shared" ca="1" si="43"/>
        <v>39.581296931759645</v>
      </c>
      <c r="AX28" s="27">
        <f t="shared" ca="1" si="25"/>
        <v>0</v>
      </c>
      <c r="AY28" s="54">
        <f t="shared" ca="1" si="44"/>
        <v>0.48122058573527648</v>
      </c>
      <c r="AZ28" s="91">
        <f t="shared" si="26"/>
        <v>40.798567237923514</v>
      </c>
      <c r="BA28" s="33">
        <f t="shared" ca="1" si="10"/>
        <v>0</v>
      </c>
      <c r="BB28" s="33">
        <f t="shared" ca="1" si="45"/>
        <v>0.73604972042858963</v>
      </c>
    </row>
    <row r="29" spans="1:54" x14ac:dyDescent="0.25">
      <c r="A29" s="18">
        <v>42214</v>
      </c>
      <c r="B29">
        <v>2685.9889817706153</v>
      </c>
      <c r="D29" s="154">
        <v>42174</v>
      </c>
      <c r="E29" s="58">
        <f>B17</f>
        <v>3477.9884459855607</v>
      </c>
      <c r="L29" s="83">
        <f t="shared" si="11"/>
        <v>3477.9884459855607</v>
      </c>
      <c r="M29" s="68"/>
      <c r="N29" s="62">
        <v>42174</v>
      </c>
      <c r="O29" s="37">
        <f t="shared" si="12"/>
        <v>3477.9884459855607</v>
      </c>
      <c r="P29" s="85">
        <f t="shared" si="13"/>
        <v>5.0996898034978901</v>
      </c>
      <c r="Q29" s="85">
        <f t="shared" si="14"/>
        <v>129.53212100884639</v>
      </c>
      <c r="R29" s="84">
        <f t="shared" si="27"/>
        <v>30926.147302249396</v>
      </c>
      <c r="S29" s="86">
        <f t="shared" si="15"/>
        <v>0.70996665064851694</v>
      </c>
      <c r="T29" s="85">
        <f t="shared" si="16"/>
        <v>45.34625704142141</v>
      </c>
      <c r="U29" s="88">
        <f>LOOKUP(N29,'weather data'!$B$7:$B$158,'weather data'!$C$7:$C$158)</f>
        <v>0</v>
      </c>
      <c r="V29" s="88">
        <f t="shared" si="17"/>
        <v>0</v>
      </c>
      <c r="W29" s="88">
        <f t="shared" si="28"/>
        <v>0.55200000000000005</v>
      </c>
      <c r="X29" s="79">
        <f>LOOKUP(N29,'weather data'!$B$7:$B$158,'weather data'!$E$7:$E$158)</f>
        <v>0.32</v>
      </c>
      <c r="Y29" s="6">
        <v>1</v>
      </c>
      <c r="Z29" s="6">
        <v>19</v>
      </c>
      <c r="AA29" s="95">
        <f t="shared" si="1"/>
        <v>25.123966942148762</v>
      </c>
      <c r="AB29" s="94">
        <f ca="1">FORECAST(AA29,OFFSET(Soils!$K$41:$K$57,MATCH(AA29,Soils!$J$41:$J$57,1)-1,0,2),OFFSET(Soils!$J$41:$J$57,MATCH(AA29,Soils!$J$41:$J$57,1)-1,0,2))</f>
        <v>0.26537190082644629</v>
      </c>
      <c r="AC29" s="92">
        <f t="shared" ca="1" si="34"/>
        <v>1</v>
      </c>
      <c r="AD29" s="92">
        <f t="shared" ca="1" si="18"/>
        <v>0.26537190082644629</v>
      </c>
      <c r="AE29" s="87">
        <f t="shared" ca="1" si="19"/>
        <v>8.4919008264462817E-2</v>
      </c>
      <c r="AF29" s="87">
        <f t="shared" ca="1" si="35"/>
        <v>8.4919008264462817E-2</v>
      </c>
      <c r="AG29" s="87">
        <f t="shared" ca="1" si="36"/>
        <v>0.90461831546991489</v>
      </c>
      <c r="AH29" s="56">
        <f ca="1">FORECAST(AA29,OFFSET(Soils!$L$41:$L$57,MATCH(AA29,Soils!$J$41:$J$57,1)-1,0,2),OFFSET(Soils!$J$41:$J$57,MATCH(AA29,Soils!$J$41:$J$57,1)-1,0,2))</f>
        <v>2.6968247063940881E-2</v>
      </c>
      <c r="AI29" s="27">
        <f t="shared" ca="1" si="3"/>
        <v>0.29719443236189652</v>
      </c>
      <c r="AJ29" s="54"/>
      <c r="AK29" s="54">
        <f t="shared" ca="1" si="4"/>
        <v>0.32096998695084827</v>
      </c>
      <c r="AL29" s="54">
        <f t="shared" ca="1" si="21"/>
        <v>8.1526376685515451</v>
      </c>
      <c r="AM29" s="27">
        <f t="shared" ca="1" si="37"/>
        <v>9.6290996085254474E-2</v>
      </c>
      <c r="AN29" s="40">
        <f t="shared" ca="1" si="38"/>
        <v>0.22467899086559379</v>
      </c>
      <c r="AO29" s="27">
        <f t="shared" ca="1" si="39"/>
        <v>8.3649586776859519E-2</v>
      </c>
      <c r="AP29" s="27">
        <f t="shared" ca="1" si="6"/>
        <v>0</v>
      </c>
      <c r="AQ29" s="27">
        <f t="shared" ca="1" si="40"/>
        <v>0.32096998695084827</v>
      </c>
      <c r="AR29" s="27">
        <f t="shared" ca="1" si="41"/>
        <v>1</v>
      </c>
      <c r="AS29" s="27">
        <f t="shared" ca="1" si="8"/>
        <v>4.9311212084565677</v>
      </c>
      <c r="AT29" s="28">
        <f t="shared" ca="1" si="42"/>
        <v>44.993638725951492</v>
      </c>
      <c r="AU29" s="27">
        <f t="shared" ca="1" si="9"/>
        <v>4.9311212084565677</v>
      </c>
      <c r="AV29" s="51">
        <f t="shared" ca="1" si="24"/>
        <v>125.25047869479681</v>
      </c>
      <c r="AW29" s="51">
        <f t="shared" ca="1" si="43"/>
        <v>44.512418140216212</v>
      </c>
      <c r="AX29" s="27">
        <f t="shared" ca="1" si="25"/>
        <v>0</v>
      </c>
      <c r="AY29" s="54">
        <f t="shared" ca="1" si="44"/>
        <v>0.48122058573527648</v>
      </c>
      <c r="AZ29" s="91">
        <f t="shared" si="26"/>
        <v>45.898257041421402</v>
      </c>
      <c r="BA29" s="33">
        <f t="shared" ca="1" si="10"/>
        <v>0.16856859504132249</v>
      </c>
      <c r="BB29" s="33">
        <f t="shared" ca="1" si="45"/>
        <v>0.90461831546991212</v>
      </c>
    </row>
    <row r="30" spans="1:54" x14ac:dyDescent="0.25">
      <c r="A30" s="18">
        <v>42216</v>
      </c>
      <c r="B30">
        <v>2941.5329999321875</v>
      </c>
      <c r="D30" s="154">
        <v>42175</v>
      </c>
      <c r="E30" s="58">
        <v>0</v>
      </c>
      <c r="K30" s="3"/>
      <c r="L30" s="83">
        <f t="shared" si="11"/>
        <v>0</v>
      </c>
      <c r="M30" s="68"/>
      <c r="N30" s="62">
        <v>42175</v>
      </c>
      <c r="O30" s="37">
        <f t="shared" si="12"/>
        <v>0</v>
      </c>
      <c r="P30" s="85">
        <f t="shared" si="13"/>
        <v>0</v>
      </c>
      <c r="Q30" s="85">
        <f t="shared" si="14"/>
        <v>0</v>
      </c>
      <c r="R30" s="84">
        <f t="shared" si="27"/>
        <v>30926.147302249396</v>
      </c>
      <c r="S30" s="86">
        <f t="shared" si="15"/>
        <v>0.70996665064851694</v>
      </c>
      <c r="T30" s="85">
        <f t="shared" si="16"/>
        <v>45.34625704142141</v>
      </c>
      <c r="U30" s="88">
        <f>LOOKUP(N30,'weather data'!$B$7:$B$158,'weather data'!$C$7:$C$158)</f>
        <v>0</v>
      </c>
      <c r="V30" s="88">
        <f t="shared" si="17"/>
        <v>0</v>
      </c>
      <c r="W30" s="88">
        <f t="shared" si="28"/>
        <v>0.55200000000000005</v>
      </c>
      <c r="X30" s="79">
        <f>LOOKUP(N30,'weather data'!$B$7:$B$158,'weather data'!$E$7:$E$158)</f>
        <v>0.24</v>
      </c>
      <c r="Y30" s="6">
        <v>1</v>
      </c>
      <c r="Z30" s="6">
        <v>20</v>
      </c>
      <c r="AA30" s="95">
        <f t="shared" si="1"/>
        <v>26.446280991735538</v>
      </c>
      <c r="AB30" s="94">
        <f ca="1">FORECAST(AA30,OFFSET(Soils!$K$41:$K$57,MATCH(AA30,Soils!$J$41:$J$57,1)-1,0,2),OFFSET(Soils!$J$41:$J$57,MATCH(AA30,Soils!$J$41:$J$57,1)-1,0,2))</f>
        <v>0.2693388429752066</v>
      </c>
      <c r="AC30" s="92">
        <f t="shared" ca="1" si="34"/>
        <v>1</v>
      </c>
      <c r="AD30" s="92">
        <f t="shared" ca="1" si="18"/>
        <v>0.2693388429752066</v>
      </c>
      <c r="AE30" s="87">
        <f t="shared" ca="1" si="19"/>
        <v>6.4641322314049579E-2</v>
      </c>
      <c r="AF30" s="87">
        <f t="shared" ca="1" si="35"/>
        <v>6.4641322314049579E-2</v>
      </c>
      <c r="AG30" s="87">
        <f t="shared" ca="1" si="36"/>
        <v>0.96925963778396451</v>
      </c>
      <c r="AH30" s="56">
        <f ca="1">FORECAST(AA30,OFFSET(Soils!$L$41:$L$57,MATCH(AA30,Soils!$J$41:$J$57,1)-1,0,2),OFFSET(Soils!$J$41:$J$57,MATCH(AA30,Soils!$J$41:$J$57,1)-1,0,2))</f>
        <v>3.3927794693344976E-2</v>
      </c>
      <c r="AI30" s="27">
        <f t="shared" ca="1" si="3"/>
        <v>0.30937364071335371</v>
      </c>
      <c r="AJ30" s="54"/>
      <c r="AK30" s="54">
        <f t="shared" ca="1" si="4"/>
        <v>0.33412353197042205</v>
      </c>
      <c r="AL30" s="54">
        <f t="shared" ca="1" si="21"/>
        <v>8.4867377120487202</v>
      </c>
      <c r="AM30" s="27">
        <f t="shared" ca="1" si="37"/>
        <v>0.10023705959112661</v>
      </c>
      <c r="AN30" s="40">
        <f t="shared" ca="1" si="38"/>
        <v>0.23388647237929544</v>
      </c>
      <c r="AO30" s="27">
        <f t="shared" ca="1" si="39"/>
        <v>0</v>
      </c>
      <c r="AP30" s="27">
        <f t="shared" ca="1" si="6"/>
        <v>6.4641322314049579E-2</v>
      </c>
      <c r="AQ30" s="27">
        <f t="shared" ca="1" si="40"/>
        <v>0.26948220965637248</v>
      </c>
      <c r="AR30" s="27">
        <f t="shared" ca="1" si="41"/>
        <v>1</v>
      </c>
      <c r="AS30" s="27">
        <f t="shared" ca="1" si="8"/>
        <v>0</v>
      </c>
      <c r="AT30" s="28">
        <f t="shared" ca="1" si="42"/>
        <v>44.993638725951492</v>
      </c>
      <c r="AU30" s="27">
        <f t="shared" ca="1" si="9"/>
        <v>0</v>
      </c>
      <c r="AV30" s="51">
        <f t="shared" ca="1" si="24"/>
        <v>0</v>
      </c>
      <c r="AW30" s="51">
        <f t="shared" ca="1" si="43"/>
        <v>44.512418140216212</v>
      </c>
      <c r="AX30" s="27">
        <f t="shared" ca="1" si="25"/>
        <v>0</v>
      </c>
      <c r="AY30" s="54">
        <f t="shared" ca="1" si="44"/>
        <v>0.48122058573527648</v>
      </c>
      <c r="AZ30" s="91">
        <f t="shared" si="26"/>
        <v>45.898257041421402</v>
      </c>
      <c r="BA30" s="33">
        <f t="shared" ca="1" si="10"/>
        <v>0</v>
      </c>
      <c r="BB30" s="33">
        <f t="shared" ca="1" si="45"/>
        <v>0.90461831546991212</v>
      </c>
    </row>
    <row r="31" spans="1:54" x14ac:dyDescent="0.25">
      <c r="A31" s="18">
        <v>42221</v>
      </c>
      <c r="B31">
        <v>2812.6839775335679</v>
      </c>
      <c r="D31" s="154">
        <v>42176</v>
      </c>
      <c r="E31" s="58">
        <v>0</v>
      </c>
      <c r="K31" s="3"/>
      <c r="L31" s="83">
        <f t="shared" si="11"/>
        <v>0</v>
      </c>
      <c r="M31" s="68"/>
      <c r="N31" s="62">
        <v>42176</v>
      </c>
      <c r="O31" s="37">
        <f t="shared" si="12"/>
        <v>0</v>
      </c>
      <c r="P31" s="85">
        <f t="shared" si="13"/>
        <v>0</v>
      </c>
      <c r="Q31" s="85">
        <f t="shared" si="14"/>
        <v>0</v>
      </c>
      <c r="R31" s="84">
        <f t="shared" si="27"/>
        <v>30926.147302249396</v>
      </c>
      <c r="S31" s="86">
        <f t="shared" si="15"/>
        <v>0.70996665064851694</v>
      </c>
      <c r="T31" s="85">
        <f t="shared" si="16"/>
        <v>45.34625704142141</v>
      </c>
      <c r="U31" s="88">
        <f>LOOKUP(N31,'weather data'!$B$7:$B$158,'weather data'!$C$7:$C$158)</f>
        <v>0</v>
      </c>
      <c r="V31" s="88">
        <f t="shared" si="17"/>
        <v>0</v>
      </c>
      <c r="W31" s="88">
        <f t="shared" si="28"/>
        <v>0.55200000000000005</v>
      </c>
      <c r="X31" s="79">
        <f>LOOKUP(N31,'weather data'!$B$7:$B$158,'weather data'!$E$7:$E$158)</f>
        <v>0.27</v>
      </c>
      <c r="Y31" s="6">
        <v>1</v>
      </c>
      <c r="Z31" s="6">
        <v>21</v>
      </c>
      <c r="AA31" s="95">
        <f t="shared" si="1"/>
        <v>27.768595041322314</v>
      </c>
      <c r="AB31" s="94">
        <f ca="1">FORECAST(AA31,OFFSET(Soils!$K$41:$K$57,MATCH(AA31,Soils!$J$41:$J$57,1)-1,0,2),OFFSET(Soils!$J$41:$J$57,MATCH(AA31,Soils!$J$41:$J$57,1)-1,0,2))</f>
        <v>0.27330578512396697</v>
      </c>
      <c r="AC31" s="92">
        <f t="shared" ca="1" si="34"/>
        <v>1</v>
      </c>
      <c r="AD31" s="92">
        <f t="shared" ca="1" si="18"/>
        <v>0.27330578512396697</v>
      </c>
      <c r="AE31" s="87">
        <f t="shared" ca="1" si="19"/>
        <v>7.3792561983471089E-2</v>
      </c>
      <c r="AF31" s="87">
        <f t="shared" ca="1" si="35"/>
        <v>7.3792561983471089E-2</v>
      </c>
      <c r="AG31" s="87">
        <f t="shared" ca="1" si="36"/>
        <v>1.0430521997674356</v>
      </c>
      <c r="AH31" s="56">
        <f ca="1">FORECAST(AA31,OFFSET(Soils!$L$41:$L$57,MATCH(AA31,Soils!$J$41:$J$57,1)-1,0,2),OFFSET(Soils!$J$41:$J$57,MATCH(AA31,Soils!$J$41:$J$57,1)-1,0,2))</f>
        <v>4.0887342322749043E-2</v>
      </c>
      <c r="AI31" s="27">
        <f t="shared" ca="1" si="3"/>
        <v>0.32155284906481085</v>
      </c>
      <c r="AJ31" s="54"/>
      <c r="AK31" s="54">
        <f t="shared" ca="1" si="4"/>
        <v>0.34727707698999577</v>
      </c>
      <c r="AL31" s="54">
        <f t="shared" ca="1" si="21"/>
        <v>8.8208377555458917</v>
      </c>
      <c r="AM31" s="27">
        <f t="shared" ca="1" si="37"/>
        <v>0.10418312309699873</v>
      </c>
      <c r="AN31" s="40">
        <f t="shared" ca="1" si="38"/>
        <v>0.24309395389299704</v>
      </c>
      <c r="AO31" s="27">
        <f t="shared" ca="1" si="39"/>
        <v>6.4641322314049579E-2</v>
      </c>
      <c r="AP31" s="27">
        <f t="shared" ca="1" si="6"/>
        <v>0.13843388429752068</v>
      </c>
      <c r="AQ31" s="27">
        <f t="shared" ca="1" si="40"/>
        <v>0.20884319269247509</v>
      </c>
      <c r="AR31" s="27">
        <f t="shared" ca="1" si="41"/>
        <v>1</v>
      </c>
      <c r="AS31" s="27">
        <f t="shared" ca="1" si="8"/>
        <v>0</v>
      </c>
      <c r="AT31" s="28">
        <f t="shared" ca="1" si="42"/>
        <v>44.993638725951492</v>
      </c>
      <c r="AU31" s="27">
        <f t="shared" ca="1" si="9"/>
        <v>0</v>
      </c>
      <c r="AV31" s="51">
        <f t="shared" ca="1" si="24"/>
        <v>0</v>
      </c>
      <c r="AW31" s="51">
        <f t="shared" ca="1" si="43"/>
        <v>44.512418140216212</v>
      </c>
      <c r="AX31" s="27">
        <f t="shared" ca="1" si="25"/>
        <v>0</v>
      </c>
      <c r="AY31" s="54">
        <f t="shared" ca="1" si="44"/>
        <v>0.48122058573527648</v>
      </c>
      <c r="AZ31" s="91">
        <f t="shared" si="26"/>
        <v>45.898257041421402</v>
      </c>
      <c r="BA31" s="33">
        <f t="shared" ca="1" si="10"/>
        <v>0</v>
      </c>
      <c r="BB31" s="33">
        <f t="shared" ca="1" si="45"/>
        <v>0.90461831546991212</v>
      </c>
    </row>
    <row r="32" spans="1:54" x14ac:dyDescent="0.25">
      <c r="A32" s="18">
        <v>42226</v>
      </c>
      <c r="B32">
        <v>5120.8521806123827</v>
      </c>
      <c r="D32" s="154">
        <v>42177</v>
      </c>
      <c r="E32" s="58">
        <f>B18</f>
        <v>4608.7669625511453</v>
      </c>
      <c r="K32" s="3"/>
      <c r="L32" s="83">
        <f t="shared" si="11"/>
        <v>4608.7669625511453</v>
      </c>
      <c r="M32" s="68"/>
      <c r="N32" s="62">
        <v>42177</v>
      </c>
      <c r="O32" s="37">
        <f t="shared" si="12"/>
        <v>4608.7669625511453</v>
      </c>
      <c r="P32" s="85">
        <f t="shared" si="13"/>
        <v>6.757722818989949</v>
      </c>
      <c r="Q32" s="85">
        <f t="shared" si="14"/>
        <v>171.64615960234468</v>
      </c>
      <c r="R32" s="84">
        <f t="shared" si="27"/>
        <v>35534.914264800544</v>
      </c>
      <c r="S32" s="86">
        <f t="shared" si="15"/>
        <v>0.81576938165290502</v>
      </c>
      <c r="T32" s="85">
        <f t="shared" si="16"/>
        <v>52.10397986041135</v>
      </c>
      <c r="U32" s="88">
        <f>LOOKUP(N32,'weather data'!$B$7:$B$158,'weather data'!$C$7:$C$158)</f>
        <v>0</v>
      </c>
      <c r="V32" s="88">
        <f t="shared" si="17"/>
        <v>0</v>
      </c>
      <c r="W32" s="88">
        <f t="shared" si="28"/>
        <v>0.55200000000000005</v>
      </c>
      <c r="X32" s="79">
        <f>LOOKUP(N32,'weather data'!$B$7:$B$158,'weather data'!$E$7:$E$158)</f>
        <v>0.26</v>
      </c>
      <c r="Y32" s="6">
        <v>1</v>
      </c>
      <c r="Z32" s="6">
        <v>22</v>
      </c>
      <c r="AA32" s="95">
        <f t="shared" si="1"/>
        <v>29.09090909090909</v>
      </c>
      <c r="AB32" s="94">
        <f ca="1">FORECAST(AA32,OFFSET(Soils!$K$41:$K$57,MATCH(AA32,Soils!$J$41:$J$57,1)-1,0,2),OFFSET(Soils!$J$41:$J$57,MATCH(AA32,Soils!$J$41:$J$57,1)-1,0,2))</f>
        <v>0.27727272727272728</v>
      </c>
      <c r="AC32" s="92">
        <f t="shared" ca="1" si="34"/>
        <v>0.8798869390267241</v>
      </c>
      <c r="AD32" s="92">
        <f t="shared" ca="1" si="18"/>
        <v>0.2439686512755917</v>
      </c>
      <c r="AE32" s="87">
        <f t="shared" ca="1" si="19"/>
        <v>7.2090909090909094E-2</v>
      </c>
      <c r="AF32" s="87">
        <f t="shared" ca="1" si="35"/>
        <v>6.3431849331653842E-2</v>
      </c>
      <c r="AG32" s="87">
        <f t="shared" ca="1" si="36"/>
        <v>1.1064840490990895</v>
      </c>
      <c r="AH32" s="56">
        <f ca="1">FORECAST(AA32,OFFSET(Soils!$L$41:$L$57,MATCH(AA32,Soils!$J$41:$J$57,1)-1,0,2),OFFSET(Soils!$J$41:$J$57,MATCH(AA32,Soils!$J$41:$J$57,1)-1,0,2))</f>
        <v>4.7846889952153138E-2</v>
      </c>
      <c r="AI32" s="27">
        <f t="shared" ca="1" si="3"/>
        <v>0.33373205741626799</v>
      </c>
      <c r="AJ32" s="54"/>
      <c r="AK32" s="54">
        <f t="shared" ca="1" si="4"/>
        <v>0.36043062200956943</v>
      </c>
      <c r="AL32" s="54">
        <f t="shared" ca="1" si="21"/>
        <v>9.1549377990430632</v>
      </c>
      <c r="AM32" s="27">
        <f t="shared" ca="1" si="37"/>
        <v>0.10812918660287082</v>
      </c>
      <c r="AN32" s="40">
        <f t="shared" ca="1" si="38"/>
        <v>0.25230143540669858</v>
      </c>
      <c r="AO32" s="27">
        <f t="shared" ca="1" si="39"/>
        <v>0.13843388429752068</v>
      </c>
      <c r="AP32" s="27">
        <f t="shared" ca="1" si="6"/>
        <v>0</v>
      </c>
      <c r="AQ32" s="27">
        <f t="shared" ca="1" si="40"/>
        <v>0.36043062200956943</v>
      </c>
      <c r="AR32" s="27">
        <f t="shared" ca="1" si="41"/>
        <v>0.8798869390267241</v>
      </c>
      <c r="AS32" s="27">
        <f t="shared" ca="1" si="8"/>
        <v>6.5558570853607749</v>
      </c>
      <c r="AT32" s="28">
        <f t="shared" ca="1" si="42"/>
        <v>51.549495811312269</v>
      </c>
      <c r="AU32" s="27">
        <f t="shared" ca="1" si="9"/>
        <v>6.5558570853607749</v>
      </c>
      <c r="AV32" s="51">
        <f t="shared" ca="1" si="24"/>
        <v>166.51876996816367</v>
      </c>
      <c r="AW32" s="51">
        <f t="shared" ca="1" si="43"/>
        <v>51.06827522557699</v>
      </c>
      <c r="AX32" s="27">
        <f t="shared" ca="1" si="25"/>
        <v>0</v>
      </c>
      <c r="AY32" s="54">
        <f t="shared" ca="1" si="44"/>
        <v>0.48122058573527648</v>
      </c>
      <c r="AZ32" s="91">
        <f t="shared" si="26"/>
        <v>52.65597986041135</v>
      </c>
      <c r="BA32" s="33">
        <f t="shared" ca="1" si="10"/>
        <v>0.20186573362917404</v>
      </c>
      <c r="BB32" s="33">
        <f t="shared" ca="1" si="45"/>
        <v>1.1064840490990862</v>
      </c>
    </row>
    <row r="33" spans="1:73" x14ac:dyDescent="0.25">
      <c r="A33" s="18">
        <v>42233</v>
      </c>
      <c r="B33">
        <v>5156.5872921448799</v>
      </c>
      <c r="D33" s="154">
        <v>42178</v>
      </c>
      <c r="E33" s="58">
        <v>0</v>
      </c>
      <c r="L33" s="83">
        <f t="shared" si="11"/>
        <v>0</v>
      </c>
      <c r="M33" s="68"/>
      <c r="N33" s="62">
        <v>42178</v>
      </c>
      <c r="O33" s="37">
        <f t="shared" si="12"/>
        <v>0</v>
      </c>
      <c r="P33" s="85">
        <f t="shared" si="13"/>
        <v>0</v>
      </c>
      <c r="Q33" s="85">
        <f t="shared" si="14"/>
        <v>0</v>
      </c>
      <c r="R33" s="84">
        <f t="shared" si="27"/>
        <v>35534.914264800544</v>
      </c>
      <c r="S33" s="86">
        <f t="shared" si="15"/>
        <v>0.81576938165290502</v>
      </c>
      <c r="T33" s="85">
        <f t="shared" si="16"/>
        <v>52.10397986041135</v>
      </c>
      <c r="U33" s="88">
        <f>LOOKUP(N33,'weather data'!$B$7:$B$158,'weather data'!$C$7:$C$158)</f>
        <v>0</v>
      </c>
      <c r="V33" s="88">
        <f t="shared" si="17"/>
        <v>0</v>
      </c>
      <c r="W33" s="88">
        <f t="shared" si="28"/>
        <v>0.55200000000000005</v>
      </c>
      <c r="X33" s="79">
        <f>LOOKUP(N33,'weather data'!$B$7:$B$158,'weather data'!$E$7:$E$158)</f>
        <v>0.23</v>
      </c>
      <c r="Y33" s="6">
        <v>1</v>
      </c>
      <c r="Z33" s="6">
        <v>23</v>
      </c>
      <c r="AA33" s="95">
        <f t="shared" si="1"/>
        <v>30.41322314049587</v>
      </c>
      <c r="AB33" s="94">
        <f ca="1">FORECAST(AA33,OFFSET(Soils!$K$41:$K$57,MATCH(AA33,Soils!$J$41:$J$57,1)-1,0,2),OFFSET(Soils!$J$41:$J$57,MATCH(AA33,Soils!$J$41:$J$57,1)-1,0,2))</f>
        <v>0.28206611570247941</v>
      </c>
      <c r="AC33" s="92">
        <f t="shared" ca="1" si="34"/>
        <v>1</v>
      </c>
      <c r="AD33" s="92">
        <f t="shared" ca="1" si="18"/>
        <v>0.28206611570247941</v>
      </c>
      <c r="AE33" s="87">
        <f t="shared" ca="1" si="19"/>
        <v>6.4875206611570271E-2</v>
      </c>
      <c r="AF33" s="87">
        <f t="shared" ca="1" si="35"/>
        <v>6.4875206611570271E-2</v>
      </c>
      <c r="AG33" s="87">
        <f t="shared" ca="1" si="36"/>
        <v>1.1713592557106598</v>
      </c>
      <c r="AH33" s="56">
        <f ca="1">FORECAST(AA33,OFFSET(Soils!$L$41:$L$57,MATCH(AA33,Soils!$J$41:$J$57,1)-1,0,2),OFFSET(Soils!$J$41:$J$57,MATCH(AA33,Soils!$J$41:$J$57,1)-1,0,2))</f>
        <v>5.6256343337683173E-2</v>
      </c>
      <c r="AI33" s="27">
        <f t="shared" ca="1" si="3"/>
        <v>0.34844860084094553</v>
      </c>
      <c r="AJ33" s="54"/>
      <c r="AK33" s="54">
        <f t="shared" ca="1" si="4"/>
        <v>0.37632448890822118</v>
      </c>
      <c r="AL33" s="54">
        <f t="shared" ca="1" si="21"/>
        <v>9.5586420182688165</v>
      </c>
      <c r="AM33" s="27">
        <f t="shared" ca="1" si="37"/>
        <v>0.11289734667246634</v>
      </c>
      <c r="AN33" s="40">
        <f t="shared" ca="1" si="38"/>
        <v>0.26342714223575481</v>
      </c>
      <c r="AO33" s="27">
        <f t="shared" ca="1" si="39"/>
        <v>0</v>
      </c>
      <c r="AP33" s="27">
        <f t="shared" ca="1" si="6"/>
        <v>6.4875206611570271E-2</v>
      </c>
      <c r="AQ33" s="27">
        <f t="shared" ca="1" si="40"/>
        <v>0.31144928229665092</v>
      </c>
      <c r="AR33" s="27">
        <f t="shared" ca="1" si="41"/>
        <v>1</v>
      </c>
      <c r="AS33" s="27">
        <f t="shared" ca="1" si="8"/>
        <v>0</v>
      </c>
      <c r="AT33" s="28">
        <f t="shared" ca="1" si="42"/>
        <v>51.549495811312269</v>
      </c>
      <c r="AU33" s="27">
        <f t="shared" ca="1" si="9"/>
        <v>0</v>
      </c>
      <c r="AV33" s="51">
        <f t="shared" ca="1" si="24"/>
        <v>0</v>
      </c>
      <c r="AW33" s="51">
        <f t="shared" ca="1" si="43"/>
        <v>51.06827522557699</v>
      </c>
      <c r="AX33" s="27">
        <f t="shared" ca="1" si="25"/>
        <v>0</v>
      </c>
      <c r="AY33" s="54">
        <f t="shared" ca="1" si="44"/>
        <v>0.48122058573527648</v>
      </c>
      <c r="AZ33" s="91">
        <f t="shared" si="26"/>
        <v>52.65597986041135</v>
      </c>
      <c r="BA33" s="33">
        <f t="shared" ca="1" si="10"/>
        <v>0</v>
      </c>
      <c r="BB33" s="33">
        <f t="shared" ca="1" si="45"/>
        <v>1.1064840490990862</v>
      </c>
    </row>
    <row r="34" spans="1:73" x14ac:dyDescent="0.25">
      <c r="A34" s="18">
        <v>42235</v>
      </c>
      <c r="B34">
        <v>2812.6839775335679</v>
      </c>
      <c r="D34" s="154">
        <v>42179</v>
      </c>
      <c r="E34" s="58">
        <f>B19</f>
        <v>2941.5329999321866</v>
      </c>
      <c r="L34" s="83">
        <f t="shared" si="11"/>
        <v>2941.5329999321866</v>
      </c>
      <c r="M34" s="68"/>
      <c r="N34" s="62">
        <v>42179</v>
      </c>
      <c r="O34" s="37">
        <f t="shared" si="12"/>
        <v>2941.5329999321866</v>
      </c>
      <c r="P34" s="85">
        <f t="shared" si="13"/>
        <v>4.3130982403697748</v>
      </c>
      <c r="Q34" s="85">
        <f t="shared" si="14"/>
        <v>109.55269530539228</v>
      </c>
      <c r="R34" s="84">
        <f t="shared" si="27"/>
        <v>38476.447264732727</v>
      </c>
      <c r="S34" s="86">
        <f t="shared" si="15"/>
        <v>0.88329768743647219</v>
      </c>
      <c r="T34" s="85">
        <f t="shared" si="16"/>
        <v>56.417078100781133</v>
      </c>
      <c r="U34" s="88">
        <f>LOOKUP(N34,'weather data'!$B$7:$B$158,'weather data'!$C$7:$C$158)</f>
        <v>0</v>
      </c>
      <c r="V34" s="88">
        <f t="shared" si="17"/>
        <v>0</v>
      </c>
      <c r="W34" s="88">
        <f t="shared" si="28"/>
        <v>0.55200000000000005</v>
      </c>
      <c r="X34" s="79">
        <f>LOOKUP(N34,'weather data'!$B$7:$B$158,'weather data'!$E$7:$E$158)</f>
        <v>0.24</v>
      </c>
      <c r="Y34" s="6">
        <v>1</v>
      </c>
      <c r="Z34" s="6">
        <v>24</v>
      </c>
      <c r="AA34" s="95">
        <f t="shared" si="1"/>
        <v>31.735537190082646</v>
      </c>
      <c r="AB34" s="94">
        <f ca="1">FORECAST(AA34,OFFSET(Soils!$K$41:$K$57,MATCH(AA34,Soils!$J$41:$J$57,1)-1,0,2),OFFSET(Soils!$J$41:$J$57,MATCH(AA34,Soils!$J$41:$J$57,1)-1,0,2))</f>
        <v>0.28867768595041332</v>
      </c>
      <c r="AC34" s="92">
        <f t="shared" ca="1" si="34"/>
        <v>1</v>
      </c>
      <c r="AD34" s="92">
        <f t="shared" ca="1" si="18"/>
        <v>0.28867768595041332</v>
      </c>
      <c r="AE34" s="87">
        <f t="shared" ca="1" si="19"/>
        <v>6.9282644628099188E-2</v>
      </c>
      <c r="AF34" s="87">
        <f t="shared" ca="1" si="35"/>
        <v>6.9282644628099188E-2</v>
      </c>
      <c r="AG34" s="87">
        <f t="shared" ca="1" si="36"/>
        <v>1.240641900338759</v>
      </c>
      <c r="AH34" s="56">
        <f ca="1">FORECAST(AA34,OFFSET(Soils!$L$41:$L$57,MATCH(AA34,Soils!$J$41:$J$57,1)-1,0,2),OFFSET(Soils!$J$41:$J$57,MATCH(AA34,Soils!$J$41:$J$57,1)-1,0,2))</f>
        <v>6.785558938668998E-2</v>
      </c>
      <c r="AI34" s="27">
        <f t="shared" ca="1" si="3"/>
        <v>0.36874728142670743</v>
      </c>
      <c r="AJ34" s="54"/>
      <c r="AK34" s="54">
        <f t="shared" ca="1" si="4"/>
        <v>0.39824706394084403</v>
      </c>
      <c r="AL34" s="54">
        <f t="shared" ca="1" si="21"/>
        <v>10.115475424097438</v>
      </c>
      <c r="AM34" s="27">
        <f t="shared" ca="1" si="37"/>
        <v>0.1194741191822532</v>
      </c>
      <c r="AN34" s="40">
        <f t="shared" ca="1" si="38"/>
        <v>0.27877294475859082</v>
      </c>
      <c r="AO34" s="27">
        <f t="shared" ca="1" si="39"/>
        <v>6.4875206611570271E-2</v>
      </c>
      <c r="AP34" s="27">
        <f t="shared" ca="1" si="6"/>
        <v>0</v>
      </c>
      <c r="AQ34" s="27">
        <f t="shared" ca="1" si="40"/>
        <v>0.39824706394084403</v>
      </c>
      <c r="AR34" s="27">
        <f t="shared" ca="1" si="41"/>
        <v>1</v>
      </c>
      <c r="AS34" s="27">
        <f t="shared" ca="1" si="8"/>
        <v>4.1789403891301058</v>
      </c>
      <c r="AT34" s="28">
        <f t="shared" ca="1" si="42"/>
        <v>55.728436200442374</v>
      </c>
      <c r="AU34" s="27">
        <f t="shared" ca="1" si="9"/>
        <v>4.1789403891301058</v>
      </c>
      <c r="AV34" s="51">
        <f t="shared" ca="1" si="24"/>
        <v>106.14508588390468</v>
      </c>
      <c r="AW34" s="51">
        <f t="shared" ca="1" si="43"/>
        <v>55.247215614707095</v>
      </c>
      <c r="AX34" s="27">
        <f t="shared" ca="1" si="25"/>
        <v>0</v>
      </c>
      <c r="AY34" s="54">
        <f t="shared" ca="1" si="44"/>
        <v>0.48122058573527648</v>
      </c>
      <c r="AZ34" s="91">
        <f t="shared" si="26"/>
        <v>56.969078100781125</v>
      </c>
      <c r="BA34" s="33">
        <f t="shared" ca="1" si="10"/>
        <v>0.13415785123966906</v>
      </c>
      <c r="BB34" s="33">
        <f t="shared" ca="1" si="45"/>
        <v>1.2406419003387552</v>
      </c>
    </row>
    <row r="35" spans="1:73" x14ac:dyDescent="0.25">
      <c r="A35" s="18">
        <v>42237</v>
      </c>
      <c r="B35">
        <v>2561.473770865317</v>
      </c>
      <c r="D35" s="154">
        <v>42180</v>
      </c>
      <c r="E35" s="58">
        <v>0</v>
      </c>
      <c r="K35" s="10"/>
      <c r="L35" s="83">
        <f t="shared" si="11"/>
        <v>0</v>
      </c>
      <c r="M35" s="68"/>
      <c r="N35" s="62">
        <v>42180</v>
      </c>
      <c r="O35" s="37">
        <f t="shared" si="12"/>
        <v>0</v>
      </c>
      <c r="P35" s="85">
        <f t="shared" si="13"/>
        <v>0</v>
      </c>
      <c r="Q35" s="85">
        <f t="shared" si="14"/>
        <v>0</v>
      </c>
      <c r="R35" s="84">
        <f t="shared" si="27"/>
        <v>38476.447264732727</v>
      </c>
      <c r="S35" s="86">
        <f t="shared" si="15"/>
        <v>0.88329768743647219</v>
      </c>
      <c r="T35" s="85">
        <f t="shared" si="16"/>
        <v>56.417078100781133</v>
      </c>
      <c r="U35" s="88">
        <f>LOOKUP(N35,'weather data'!$B$7:$B$158,'weather data'!$C$7:$C$158)</f>
        <v>0</v>
      </c>
      <c r="V35" s="88">
        <f t="shared" si="17"/>
        <v>0</v>
      </c>
      <c r="W35" s="88">
        <f t="shared" si="28"/>
        <v>0.55200000000000005</v>
      </c>
      <c r="X35" s="79">
        <f>LOOKUP(N35,'weather data'!$B$7:$B$158,'weather data'!$E$7:$E$158)</f>
        <v>0.24</v>
      </c>
      <c r="Y35" s="6">
        <v>1</v>
      </c>
      <c r="Z35" s="6">
        <v>25</v>
      </c>
      <c r="AA35" s="95">
        <f t="shared" si="1"/>
        <v>33.057851239669418</v>
      </c>
      <c r="AB35" s="94">
        <f ca="1">FORECAST(AA35,OFFSET(Soils!$K$41:$K$57,MATCH(AA35,Soils!$J$41:$J$57,1)-1,0,2),OFFSET(Soils!$J$41:$J$57,MATCH(AA35,Soils!$J$41:$J$57,1)-1,0,2))</f>
        <v>0.29528925619834712</v>
      </c>
      <c r="AC35" s="92">
        <f t="shared" ca="1" si="34"/>
        <v>1</v>
      </c>
      <c r="AD35" s="92">
        <f t="shared" ca="1" si="18"/>
        <v>0.29528925619834712</v>
      </c>
      <c r="AE35" s="87">
        <f t="shared" ca="1" si="19"/>
        <v>7.0869421487603307E-2</v>
      </c>
      <c r="AF35" s="87">
        <f t="shared" ca="1" si="35"/>
        <v>7.0869421487603307E-2</v>
      </c>
      <c r="AG35" s="87">
        <f t="shared" ca="1" si="36"/>
        <v>1.3115113218263623</v>
      </c>
      <c r="AH35" s="56">
        <f ca="1">FORECAST(AA35,OFFSET(Soils!$L$41:$L$57,MATCH(AA35,Soils!$J$41:$J$57,1)-1,0,2),OFFSET(Soils!$J$41:$J$57,MATCH(AA35,Soils!$J$41:$J$57,1)-1,0,2))</f>
        <v>7.945483543569673E-2</v>
      </c>
      <c r="AI35" s="27">
        <f t="shared" ca="1" si="3"/>
        <v>0.38904596201246927</v>
      </c>
      <c r="AJ35" s="54"/>
      <c r="AK35" s="54">
        <f t="shared" ca="1" si="4"/>
        <v>0.42016963897346682</v>
      </c>
      <c r="AL35" s="54">
        <f t="shared" ca="1" si="21"/>
        <v>10.672308829926056</v>
      </c>
      <c r="AM35" s="27">
        <f t="shared" ca="1" si="37"/>
        <v>0.12605089169204003</v>
      </c>
      <c r="AN35" s="40">
        <f t="shared" ca="1" si="38"/>
        <v>0.29411874728142678</v>
      </c>
      <c r="AO35" s="27">
        <f t="shared" ca="1" si="39"/>
        <v>0</v>
      </c>
      <c r="AP35" s="27">
        <f t="shared" ca="1" si="6"/>
        <v>7.0869421487603307E-2</v>
      </c>
      <c r="AQ35" s="27">
        <f t="shared" ca="1" si="40"/>
        <v>0.34930021748586348</v>
      </c>
      <c r="AR35" s="27">
        <f t="shared" ca="1" si="41"/>
        <v>1</v>
      </c>
      <c r="AS35" s="27">
        <f t="shared" ca="1" si="8"/>
        <v>0</v>
      </c>
      <c r="AT35" s="28">
        <f t="shared" ca="1" si="42"/>
        <v>55.728436200442374</v>
      </c>
      <c r="AU35" s="27">
        <f t="shared" ca="1" si="9"/>
        <v>0</v>
      </c>
      <c r="AV35" s="51">
        <f t="shared" ca="1" si="24"/>
        <v>0</v>
      </c>
      <c r="AW35" s="51">
        <f t="shared" ca="1" si="43"/>
        <v>55.247215614707095</v>
      </c>
      <c r="AX35" s="27">
        <f t="shared" ca="1" si="25"/>
        <v>0</v>
      </c>
      <c r="AY35" s="54">
        <f t="shared" ca="1" si="44"/>
        <v>0.48122058573527648</v>
      </c>
      <c r="AZ35" s="91">
        <f t="shared" si="26"/>
        <v>56.969078100781125</v>
      </c>
      <c r="BA35" s="33">
        <f t="shared" ca="1" si="10"/>
        <v>0</v>
      </c>
      <c r="BB35" s="33">
        <f t="shared" ca="1" si="45"/>
        <v>1.2406419003387552</v>
      </c>
      <c r="BU35" t="s">
        <v>289</v>
      </c>
    </row>
    <row r="36" spans="1:73" x14ac:dyDescent="0.25">
      <c r="A36" s="18">
        <v>42240</v>
      </c>
      <c r="B36">
        <v>4902.5549998869774</v>
      </c>
      <c r="D36" s="154">
        <v>42181</v>
      </c>
      <c r="E36" s="58">
        <f>B20</f>
        <v>3072.5113083674305</v>
      </c>
      <c r="K36" s="80"/>
      <c r="L36" s="83">
        <f t="shared" si="11"/>
        <v>3072.5113083674305</v>
      </c>
      <c r="M36" s="68"/>
      <c r="N36" s="62">
        <v>42181</v>
      </c>
      <c r="O36" s="37">
        <f t="shared" si="12"/>
        <v>3072.5113083674305</v>
      </c>
      <c r="P36" s="85">
        <f t="shared" si="13"/>
        <v>4.5051485459933005</v>
      </c>
      <c r="Q36" s="85">
        <f t="shared" si="14"/>
        <v>114.43077306822983</v>
      </c>
      <c r="R36" s="84">
        <f t="shared" si="27"/>
        <v>41548.958573100157</v>
      </c>
      <c r="S36" s="86">
        <f t="shared" si="15"/>
        <v>0.95383284143939751</v>
      </c>
      <c r="T36" s="85">
        <f t="shared" si="16"/>
        <v>60.922226646774426</v>
      </c>
      <c r="U36" s="88">
        <f>LOOKUP(N36,'weather data'!$B$7:$B$158,'weather data'!$C$7:$C$158)</f>
        <v>0</v>
      </c>
      <c r="V36" s="88">
        <f t="shared" si="17"/>
        <v>0</v>
      </c>
      <c r="W36" s="88">
        <f t="shared" si="28"/>
        <v>0.55200000000000005</v>
      </c>
      <c r="X36" s="79">
        <f>LOOKUP(N36,'weather data'!$B$7:$B$158,'weather data'!$E$7:$E$158)</f>
        <v>0.24</v>
      </c>
      <c r="Y36" s="6">
        <v>1</v>
      </c>
      <c r="Z36" s="6">
        <v>26</v>
      </c>
      <c r="AA36" s="95">
        <f t="shared" si="1"/>
        <v>34.380165289256198</v>
      </c>
      <c r="AB36" s="94">
        <f ca="1">FORECAST(AA36,OFFSET(Soils!$K$41:$K$57,MATCH(AA36,Soils!$J$41:$J$57,1)-1,0,2),OFFSET(Soils!$J$41:$J$57,MATCH(AA36,Soils!$J$41:$J$57,1)-1,0,2))</f>
        <v>0.30190082644628102</v>
      </c>
      <c r="AC36" s="92">
        <f t="shared" ca="1" si="34"/>
        <v>1</v>
      </c>
      <c r="AD36" s="92">
        <f t="shared" ca="1" si="18"/>
        <v>0.30190082644628102</v>
      </c>
      <c r="AE36" s="87">
        <f t="shared" ca="1" si="19"/>
        <v>7.2456198347107439E-2</v>
      </c>
      <c r="AF36" s="87">
        <f t="shared" ca="1" si="35"/>
        <v>7.2456198347107439E-2</v>
      </c>
      <c r="AG36" s="87">
        <f t="shared" ca="1" si="36"/>
        <v>1.3839675201734698</v>
      </c>
      <c r="AH36" s="56">
        <f ca="1">FORECAST(AA36,OFFSET(Soils!$L$41:$L$57,MATCH(AA36,Soils!$J$41:$J$57,1)-1,0,2),OFFSET(Soils!$J$41:$J$57,MATCH(AA36,Soils!$J$41:$J$57,1)-1,0,2))</f>
        <v>9.1054081484703592E-2</v>
      </c>
      <c r="AI36" s="27">
        <f t="shared" ca="1" si="3"/>
        <v>0.40934464259823128</v>
      </c>
      <c r="AJ36" s="54"/>
      <c r="AK36" s="54">
        <f t="shared" ca="1" si="4"/>
        <v>0.44209221400608983</v>
      </c>
      <c r="AL36" s="54">
        <f t="shared" ca="1" si="21"/>
        <v>11.229142235754681</v>
      </c>
      <c r="AM36" s="27">
        <f t="shared" ca="1" si="37"/>
        <v>0.13262766420182695</v>
      </c>
      <c r="AN36" s="40">
        <f t="shared" ca="1" si="38"/>
        <v>0.30946454980426286</v>
      </c>
      <c r="AO36" s="27">
        <f t="shared" ca="1" si="39"/>
        <v>7.0869421487603307E-2</v>
      </c>
      <c r="AP36" s="27">
        <f t="shared" ca="1" si="6"/>
        <v>0</v>
      </c>
      <c r="AQ36" s="27">
        <f t="shared" ca="1" si="40"/>
        <v>0.44209221400608983</v>
      </c>
      <c r="AR36" s="27">
        <f t="shared" ca="1" si="41"/>
        <v>1</v>
      </c>
      <c r="AS36" s="27">
        <f t="shared" ca="1" si="8"/>
        <v>4.3618229261585899</v>
      </c>
      <c r="AT36" s="28">
        <f t="shared" ca="1" si="42"/>
        <v>60.090259126600962</v>
      </c>
      <c r="AU36" s="27">
        <f t="shared" ca="1" si="9"/>
        <v>4.3618229261585899</v>
      </c>
      <c r="AV36" s="51">
        <f t="shared" ca="1" si="24"/>
        <v>110.79030232442818</v>
      </c>
      <c r="AW36" s="51">
        <f t="shared" ca="1" si="43"/>
        <v>59.609038540865683</v>
      </c>
      <c r="AX36" s="27">
        <f t="shared" ca="1" si="25"/>
        <v>0</v>
      </c>
      <c r="AY36" s="54">
        <f t="shared" ca="1" si="44"/>
        <v>0.48122058573527648</v>
      </c>
      <c r="AZ36" s="91">
        <f t="shared" si="26"/>
        <v>61.474226646774426</v>
      </c>
      <c r="BA36" s="33">
        <f t="shared" ca="1" si="10"/>
        <v>0.14332561983471059</v>
      </c>
      <c r="BB36" s="33">
        <f t="shared" ca="1" si="45"/>
        <v>1.3839675201734658</v>
      </c>
    </row>
    <row r="37" spans="1:73" x14ac:dyDescent="0.25">
      <c r="A37" s="18">
        <v>42244</v>
      </c>
      <c r="B37">
        <v>2561.473770865317</v>
      </c>
      <c r="D37" s="154">
        <v>42182</v>
      </c>
      <c r="E37" s="58">
        <v>0</v>
      </c>
      <c r="K37" s="57"/>
      <c r="L37" s="83">
        <f t="shared" si="11"/>
        <v>0</v>
      </c>
      <c r="M37" s="68"/>
      <c r="N37" s="62">
        <v>42182</v>
      </c>
      <c r="O37" s="37">
        <f t="shared" si="12"/>
        <v>0</v>
      </c>
      <c r="P37" s="85">
        <f t="shared" si="13"/>
        <v>0</v>
      </c>
      <c r="Q37" s="85">
        <f t="shared" si="14"/>
        <v>0</v>
      </c>
      <c r="R37" s="84">
        <f t="shared" si="27"/>
        <v>41548.958573100157</v>
      </c>
      <c r="S37" s="86">
        <f t="shared" si="15"/>
        <v>0.95383284143939751</v>
      </c>
      <c r="T37" s="85">
        <f t="shared" si="16"/>
        <v>60.922226646774426</v>
      </c>
      <c r="U37" s="88">
        <f>LOOKUP(N37,'weather data'!$B$7:$B$158,'weather data'!$C$7:$C$158)</f>
        <v>0</v>
      </c>
      <c r="V37" s="88">
        <f t="shared" si="17"/>
        <v>0</v>
      </c>
      <c r="W37" s="88">
        <f t="shared" si="28"/>
        <v>0.55200000000000005</v>
      </c>
      <c r="X37" s="79">
        <f>LOOKUP(N37,'weather data'!$B$7:$B$158,'weather data'!$E$7:$E$158)</f>
        <v>0.24</v>
      </c>
      <c r="Y37" s="6">
        <v>1</v>
      </c>
      <c r="Z37" s="6">
        <v>27</v>
      </c>
      <c r="AA37" s="95">
        <f t="shared" si="1"/>
        <v>35.702479338842977</v>
      </c>
      <c r="AB37" s="94">
        <f ca="1">FORECAST(AA37,OFFSET(Soils!$K$41:$K$57,MATCH(AA37,Soils!$J$41:$J$57,1)-1,0,2),OFFSET(Soils!$J$41:$J$57,MATCH(AA37,Soils!$J$41:$J$57,1)-1,0,2))</f>
        <v>0.30851239669421493</v>
      </c>
      <c r="AC37" s="92">
        <f t="shared" ca="1" si="34"/>
        <v>1</v>
      </c>
      <c r="AD37" s="92">
        <f t="shared" ca="1" si="18"/>
        <v>0.30851239669421493</v>
      </c>
      <c r="AE37" s="87">
        <f t="shared" ca="1" si="19"/>
        <v>7.4042975206611586E-2</v>
      </c>
      <c r="AF37" s="87">
        <f t="shared" ca="1" si="35"/>
        <v>7.4042975206611586E-2</v>
      </c>
      <c r="AG37" s="87">
        <f t="shared" ca="1" si="36"/>
        <v>1.4580104953800814</v>
      </c>
      <c r="AH37" s="56">
        <f ca="1">FORECAST(AA37,OFFSET(Soils!$L$41:$L$57,MATCH(AA37,Soils!$J$41:$J$57,1)-1,0,2),OFFSET(Soils!$J$41:$J$57,MATCH(AA37,Soils!$J$41:$J$57,1)-1,0,2))</f>
        <v>0.1026533275337104</v>
      </c>
      <c r="AI37" s="27">
        <f t="shared" ca="1" si="3"/>
        <v>0.42964332318399323</v>
      </c>
      <c r="AJ37" s="54"/>
      <c r="AK37" s="54">
        <f t="shared" ca="1" si="4"/>
        <v>0.46401478903871274</v>
      </c>
      <c r="AL37" s="54">
        <f t="shared" ca="1" si="21"/>
        <v>11.785975641583303</v>
      </c>
      <c r="AM37" s="27">
        <f t="shared" ca="1" si="37"/>
        <v>0.13920443671161381</v>
      </c>
      <c r="AN37" s="40">
        <f t="shared" ca="1" si="38"/>
        <v>0.32481035232709893</v>
      </c>
      <c r="AO37" s="27">
        <f t="shared" ca="1" si="39"/>
        <v>0</v>
      </c>
      <c r="AP37" s="27">
        <f t="shared" ca="1" si="6"/>
        <v>7.4042975206611586E-2</v>
      </c>
      <c r="AQ37" s="27">
        <f t="shared" ca="1" si="40"/>
        <v>0.38997181383210117</v>
      </c>
      <c r="AR37" s="27">
        <f t="shared" ca="1" si="41"/>
        <v>1</v>
      </c>
      <c r="AS37" s="27">
        <f t="shared" ca="1" si="8"/>
        <v>0</v>
      </c>
      <c r="AT37" s="28">
        <f t="shared" ca="1" si="42"/>
        <v>60.090259126600962</v>
      </c>
      <c r="AU37" s="27">
        <f t="shared" ca="1" si="9"/>
        <v>0</v>
      </c>
      <c r="AV37" s="51">
        <f t="shared" ca="1" si="24"/>
        <v>0</v>
      </c>
      <c r="AW37" s="51">
        <f t="shared" ca="1" si="43"/>
        <v>59.609038540865683</v>
      </c>
      <c r="AX37" s="27">
        <f t="shared" ca="1" si="25"/>
        <v>0</v>
      </c>
      <c r="AY37" s="54">
        <f t="shared" ca="1" si="44"/>
        <v>0.48122058573527648</v>
      </c>
      <c r="AZ37" s="91">
        <f t="shared" si="26"/>
        <v>61.474226646774426</v>
      </c>
      <c r="BA37" s="33">
        <f t="shared" ca="1" si="10"/>
        <v>0</v>
      </c>
      <c r="BB37" s="33">
        <f t="shared" ca="1" si="45"/>
        <v>1.3839675201734658</v>
      </c>
    </row>
    <row r="38" spans="1:73" x14ac:dyDescent="0.25">
      <c r="A38" s="18">
        <v>42247</v>
      </c>
      <c r="B38">
        <v>1280.7368854326608</v>
      </c>
      <c r="D38" s="154">
        <v>42183</v>
      </c>
      <c r="E38" s="58">
        <v>0</v>
      </c>
      <c r="L38" s="83">
        <f t="shared" si="11"/>
        <v>0</v>
      </c>
      <c r="M38" s="68"/>
      <c r="N38" s="62">
        <v>42183</v>
      </c>
      <c r="O38" s="37">
        <f t="shared" si="12"/>
        <v>0</v>
      </c>
      <c r="P38" s="85">
        <f t="shared" si="13"/>
        <v>0</v>
      </c>
      <c r="Q38" s="85">
        <f t="shared" si="14"/>
        <v>0</v>
      </c>
      <c r="R38" s="84">
        <f t="shared" si="27"/>
        <v>41548.958573100157</v>
      </c>
      <c r="S38" s="86">
        <f t="shared" si="15"/>
        <v>0.95383284143939751</v>
      </c>
      <c r="T38" s="85">
        <f t="shared" si="16"/>
        <v>60.922226646774426</v>
      </c>
      <c r="U38" s="88">
        <f>LOOKUP(N38,'weather data'!$B$7:$B$158,'weather data'!$C$7:$C$158)</f>
        <v>0</v>
      </c>
      <c r="V38" s="88">
        <f t="shared" si="17"/>
        <v>0</v>
      </c>
      <c r="W38" s="88">
        <f t="shared" si="28"/>
        <v>0.55200000000000005</v>
      </c>
      <c r="X38" s="79">
        <f>LOOKUP(N38,'weather data'!$B$7:$B$158,'weather data'!$E$7:$E$158)</f>
        <v>0.31</v>
      </c>
      <c r="Y38" s="6">
        <v>1</v>
      </c>
      <c r="Z38" s="6">
        <v>28</v>
      </c>
      <c r="AA38" s="95">
        <f t="shared" si="1"/>
        <v>37.02479338842975</v>
      </c>
      <c r="AB38" s="94">
        <f ca="1">FORECAST(AA38,OFFSET(Soils!$K$41:$K$57,MATCH(AA38,Soils!$J$41:$J$57,1)-1,0,2),OFFSET(Soils!$J$41:$J$57,MATCH(AA38,Soils!$J$41:$J$57,1)-1,0,2))</f>
        <v>0.31512396694214884</v>
      </c>
      <c r="AC38" s="92">
        <f t="shared" ca="1" si="34"/>
        <v>1</v>
      </c>
      <c r="AD38" s="92">
        <f t="shared" ca="1" si="18"/>
        <v>0.31512396694214884</v>
      </c>
      <c r="AE38" s="87">
        <f t="shared" ca="1" si="19"/>
        <v>9.7688429752066139E-2</v>
      </c>
      <c r="AF38" s="87">
        <f t="shared" ca="1" si="35"/>
        <v>9.7688429752066139E-2</v>
      </c>
      <c r="AG38" s="87">
        <f t="shared" ca="1" si="36"/>
        <v>1.5556989251321476</v>
      </c>
      <c r="AH38" s="56">
        <f ca="1">FORECAST(AA38,OFFSET(Soils!$L$41:$L$57,MATCH(AA38,Soils!$J$41:$J$57,1)-1,0,2),OFFSET(Soils!$J$41:$J$57,MATCH(AA38,Soils!$J$41:$J$57,1)-1,0,2))</f>
        <v>0.1142525735827172</v>
      </c>
      <c r="AI38" s="27">
        <f t="shared" ca="1" si="3"/>
        <v>0.44994200376975513</v>
      </c>
      <c r="AJ38" s="54"/>
      <c r="AK38" s="54">
        <f t="shared" ca="1" si="4"/>
        <v>0.48593736407133559</v>
      </c>
      <c r="AL38" s="54">
        <f t="shared" ca="1" si="21"/>
        <v>12.342809047411924</v>
      </c>
      <c r="AM38" s="27">
        <f t="shared" ca="1" si="37"/>
        <v>0.14578120922140067</v>
      </c>
      <c r="AN38" s="40">
        <f t="shared" ca="1" si="38"/>
        <v>0.34015615484993489</v>
      </c>
      <c r="AO38" s="27">
        <f t="shared" ca="1" si="39"/>
        <v>7.4042975206611586E-2</v>
      </c>
      <c r="AP38" s="27">
        <f t="shared" ca="1" si="6"/>
        <v>0.17173140495867772</v>
      </c>
      <c r="AQ38" s="27">
        <f t="shared" ca="1" si="40"/>
        <v>0.31420595911265786</v>
      </c>
      <c r="AR38" s="27">
        <f t="shared" ca="1" si="41"/>
        <v>1</v>
      </c>
      <c r="AS38" s="27">
        <f t="shared" ca="1" si="8"/>
        <v>0</v>
      </c>
      <c r="AT38" s="28">
        <f t="shared" ca="1" si="42"/>
        <v>60.090259126600962</v>
      </c>
      <c r="AU38" s="27">
        <f t="shared" ca="1" si="9"/>
        <v>0</v>
      </c>
      <c r="AV38" s="51">
        <f t="shared" ca="1" si="24"/>
        <v>0</v>
      </c>
      <c r="AW38" s="51">
        <f t="shared" ca="1" si="43"/>
        <v>59.609038540865683</v>
      </c>
      <c r="AX38" s="27">
        <f t="shared" ca="1" si="25"/>
        <v>0</v>
      </c>
      <c r="AY38" s="54">
        <f t="shared" ca="1" si="44"/>
        <v>0.48122058573527648</v>
      </c>
      <c r="AZ38" s="91">
        <f t="shared" si="26"/>
        <v>61.474226646774426</v>
      </c>
      <c r="BA38" s="33">
        <f t="shared" ca="1" si="10"/>
        <v>0</v>
      </c>
      <c r="BB38" s="33">
        <f t="shared" ca="1" si="45"/>
        <v>1.3839675201734658</v>
      </c>
    </row>
    <row r="39" spans="1:73" x14ac:dyDescent="0.25">
      <c r="A39" s="18">
        <v>42249</v>
      </c>
      <c r="B39">
        <v>2561.4737708653165</v>
      </c>
      <c r="D39" s="154">
        <v>42184</v>
      </c>
      <c r="E39" s="58">
        <v>3750</v>
      </c>
      <c r="K39" s="43"/>
      <c r="L39" s="83">
        <f t="shared" si="11"/>
        <v>3750</v>
      </c>
      <c r="M39" s="68"/>
      <c r="N39" s="62">
        <v>42184</v>
      </c>
      <c r="O39" s="37">
        <f t="shared" si="12"/>
        <v>3750</v>
      </c>
      <c r="P39" s="85">
        <f t="shared" si="13"/>
        <v>5.4985337243401755</v>
      </c>
      <c r="Q39" s="85">
        <f t="shared" si="14"/>
        <v>139.66275659824046</v>
      </c>
      <c r="R39" s="84">
        <f t="shared" si="27"/>
        <v>45298.958573100157</v>
      </c>
      <c r="S39" s="86">
        <f t="shared" si="15"/>
        <v>1.03992099570937</v>
      </c>
      <c r="T39" s="85">
        <f t="shared" si="16"/>
        <v>66.420760371114611</v>
      </c>
      <c r="U39" s="88">
        <f>LOOKUP(N39,'weather data'!$B$7:$B$158,'weather data'!$C$7:$C$158)</f>
        <v>0</v>
      </c>
      <c r="V39" s="88">
        <f t="shared" si="17"/>
        <v>0</v>
      </c>
      <c r="W39" s="88">
        <f t="shared" si="28"/>
        <v>0.55200000000000005</v>
      </c>
      <c r="X39" s="79">
        <f>LOOKUP(N39,'weather data'!$B$7:$B$158,'weather data'!$E$7:$E$158)</f>
        <v>0.31</v>
      </c>
      <c r="Y39" s="6">
        <v>1</v>
      </c>
      <c r="Z39" s="6">
        <v>29</v>
      </c>
      <c r="AA39" s="95">
        <f t="shared" si="1"/>
        <v>38.347107438016529</v>
      </c>
      <c r="AB39" s="94">
        <f ca="1">FORECAST(AA39,OFFSET(Soils!$K$41:$K$57,MATCH(AA39,Soils!$J$41:$J$57,1)-1,0,2),OFFSET(Soils!$J$41:$J$57,MATCH(AA39,Soils!$J$41:$J$57,1)-1,0,2))</f>
        <v>0.32173553719008274</v>
      </c>
      <c r="AC39" s="92">
        <f t="shared" ca="1" si="34"/>
        <v>0.94550403218405998</v>
      </c>
      <c r="AD39" s="92">
        <f t="shared" ca="1" si="18"/>
        <v>0.30420224771012783</v>
      </c>
      <c r="AE39" s="87">
        <f t="shared" ca="1" si="19"/>
        <v>9.9738016528925652E-2</v>
      </c>
      <c r="AF39" s="87">
        <f t="shared" ca="1" si="35"/>
        <v>9.4302696790139626E-2</v>
      </c>
      <c r="AG39" s="87">
        <f t="shared" ca="1" si="36"/>
        <v>1.6500016219222873</v>
      </c>
      <c r="AH39" s="56">
        <f ca="1">FORECAST(AA39,OFFSET(Soils!$L$41:$L$57,MATCH(AA39,Soils!$J$41:$J$57,1)-1,0,2),OFFSET(Soils!$J$41:$J$57,MATCH(AA39,Soils!$J$41:$J$57,1)-1,0,2))</f>
        <v>0.12585181963172401</v>
      </c>
      <c r="AI39" s="27">
        <f t="shared" ca="1" si="3"/>
        <v>0.47024068435551702</v>
      </c>
      <c r="AJ39" s="54"/>
      <c r="AK39" s="54">
        <f t="shared" ca="1" si="4"/>
        <v>0.50785993910395844</v>
      </c>
      <c r="AL39" s="54">
        <f t="shared" ca="1" si="21"/>
        <v>12.899642453240544</v>
      </c>
      <c r="AM39" s="27">
        <f t="shared" ca="1" si="37"/>
        <v>0.15235798173118753</v>
      </c>
      <c r="AN39" s="40">
        <f t="shared" ca="1" si="38"/>
        <v>0.3555019573727709</v>
      </c>
      <c r="AO39" s="27">
        <f t="shared" ca="1" si="39"/>
        <v>0.17173140495867772</v>
      </c>
      <c r="AP39" s="27">
        <f t="shared" ca="1" si="6"/>
        <v>0</v>
      </c>
      <c r="AQ39" s="27">
        <f t="shared" ca="1" si="40"/>
        <v>0.50785993910395844</v>
      </c>
      <c r="AR39" s="27">
        <f t="shared" ca="1" si="41"/>
        <v>0.94550403218405998</v>
      </c>
      <c r="AS39" s="27">
        <f t="shared" ca="1" si="8"/>
        <v>5.2324996225913587</v>
      </c>
      <c r="AT39" s="28">
        <f t="shared" ca="1" si="42"/>
        <v>65.322758749192317</v>
      </c>
      <c r="AU39" s="27">
        <f t="shared" ca="1" si="9"/>
        <v>5.2324996225913587</v>
      </c>
      <c r="AV39" s="51">
        <f t="shared" ca="1" si="24"/>
        <v>132.9054904138205</v>
      </c>
      <c r="AW39" s="51">
        <f t="shared" ca="1" si="43"/>
        <v>64.841538163457045</v>
      </c>
      <c r="AX39" s="27">
        <f t="shared" ca="1" si="25"/>
        <v>0</v>
      </c>
      <c r="AY39" s="54">
        <f t="shared" ca="1" si="44"/>
        <v>0.48122058573527648</v>
      </c>
      <c r="AZ39" s="91">
        <f t="shared" si="26"/>
        <v>66.972760371114603</v>
      </c>
      <c r="BA39" s="33">
        <f t="shared" ca="1" si="10"/>
        <v>0.26603410174881681</v>
      </c>
      <c r="BB39" s="33">
        <f t="shared" ca="1" si="45"/>
        <v>1.6500016219222826</v>
      </c>
    </row>
    <row r="40" spans="1:73" x14ac:dyDescent="0.25">
      <c r="A40" s="18">
        <v>42251</v>
      </c>
      <c r="B40">
        <v>2561.473770865317</v>
      </c>
      <c r="D40" s="154">
        <v>42185</v>
      </c>
      <c r="E40" s="58">
        <v>0</v>
      </c>
      <c r="L40" s="83">
        <f t="shared" si="11"/>
        <v>0</v>
      </c>
      <c r="M40" s="68"/>
      <c r="N40" s="62">
        <v>42185</v>
      </c>
      <c r="O40" s="37">
        <f t="shared" si="12"/>
        <v>0</v>
      </c>
      <c r="P40" s="85">
        <f t="shared" si="13"/>
        <v>0</v>
      </c>
      <c r="Q40" s="85">
        <f t="shared" si="14"/>
        <v>0</v>
      </c>
      <c r="R40" s="84">
        <f t="shared" si="27"/>
        <v>45298.958573100157</v>
      </c>
      <c r="S40" s="86">
        <f t="shared" si="15"/>
        <v>1.03992099570937</v>
      </c>
      <c r="T40" s="85">
        <f t="shared" si="16"/>
        <v>66.420760371114611</v>
      </c>
      <c r="U40" s="88">
        <f>LOOKUP(N40,'weather data'!$B$7:$B$158,'weather data'!$C$7:$C$158)</f>
        <v>0</v>
      </c>
      <c r="V40" s="88">
        <f t="shared" si="17"/>
        <v>0</v>
      </c>
      <c r="W40" s="88">
        <f t="shared" si="28"/>
        <v>0.55200000000000005</v>
      </c>
      <c r="X40" s="79">
        <f>LOOKUP(N40,'weather data'!$B$7:$B$158,'weather data'!$E$7:$E$158)</f>
        <v>0.3</v>
      </c>
      <c r="Y40" s="6">
        <v>1</v>
      </c>
      <c r="Z40" s="6">
        <v>30</v>
      </c>
      <c r="AA40" s="95">
        <f t="shared" si="1"/>
        <v>39.669421487603309</v>
      </c>
      <c r="AB40" s="94">
        <f ca="1">FORECAST(AA40,OFFSET(Soils!$K$41:$K$57,MATCH(AA40,Soils!$J$41:$J$57,1)-1,0,2),OFFSET(Soils!$J$41:$J$57,MATCH(AA40,Soils!$J$41:$J$57,1)-1,0,2))</f>
        <v>0.32834710743801659</v>
      </c>
      <c r="AC40" s="92">
        <f t="shared" ca="1" si="34"/>
        <v>1</v>
      </c>
      <c r="AD40" s="92">
        <f t="shared" ca="1" si="18"/>
        <v>0.32834710743801659</v>
      </c>
      <c r="AE40" s="87">
        <f t="shared" ca="1" si="19"/>
        <v>9.8504132231404973E-2</v>
      </c>
      <c r="AF40" s="87">
        <f t="shared" ca="1" si="35"/>
        <v>9.8504132231404973E-2</v>
      </c>
      <c r="AG40" s="87">
        <f t="shared" ca="1" si="36"/>
        <v>1.7485057541536921</v>
      </c>
      <c r="AH40" s="56">
        <f ca="1">FORECAST(AA40,OFFSET(Soils!$L$41:$L$57,MATCH(AA40,Soils!$J$41:$J$57,1)-1,0,2),OFFSET(Soils!$J$41:$J$57,MATCH(AA40,Soils!$J$41:$J$57,1)-1,0,2))</f>
        <v>0.13745106568073087</v>
      </c>
      <c r="AI40" s="27">
        <f t="shared" ca="1" si="3"/>
        <v>0.49053936494127903</v>
      </c>
      <c r="AJ40" s="54"/>
      <c r="AK40" s="54">
        <f t="shared" ca="1" si="4"/>
        <v>0.5297825141365814</v>
      </c>
      <c r="AL40" s="54">
        <f t="shared" ca="1" si="21"/>
        <v>13.456475859069167</v>
      </c>
      <c r="AM40" s="27">
        <f t="shared" ca="1" si="37"/>
        <v>0.15893475424097442</v>
      </c>
      <c r="AN40" s="40">
        <f t="shared" ca="1" si="38"/>
        <v>0.37084775989560698</v>
      </c>
      <c r="AO40" s="27">
        <f t="shared" ca="1" si="39"/>
        <v>0</v>
      </c>
      <c r="AP40" s="27">
        <f t="shared" ca="1" si="6"/>
        <v>9.8504132231404973E-2</v>
      </c>
      <c r="AQ40" s="27">
        <f t="shared" ca="1" si="40"/>
        <v>0.43127838190517642</v>
      </c>
      <c r="AR40" s="27">
        <f t="shared" ca="1" si="41"/>
        <v>1</v>
      </c>
      <c r="AS40" s="27">
        <f t="shared" ca="1" si="8"/>
        <v>0</v>
      </c>
      <c r="AT40" s="28">
        <f t="shared" ca="1" si="42"/>
        <v>65.322758749192317</v>
      </c>
      <c r="AU40" s="27">
        <f t="shared" ca="1" si="9"/>
        <v>0</v>
      </c>
      <c r="AV40" s="51">
        <f t="shared" ca="1" si="24"/>
        <v>0</v>
      </c>
      <c r="AW40" s="51">
        <f t="shared" ca="1" si="43"/>
        <v>64.841538163457045</v>
      </c>
      <c r="AX40" s="27">
        <f t="shared" ca="1" si="25"/>
        <v>0</v>
      </c>
      <c r="AY40" s="54">
        <f t="shared" ca="1" si="44"/>
        <v>0.48122058573527648</v>
      </c>
      <c r="AZ40" s="91">
        <f t="shared" si="26"/>
        <v>66.972760371114603</v>
      </c>
      <c r="BA40" s="33">
        <f t="shared" ca="1" si="10"/>
        <v>0</v>
      </c>
      <c r="BB40" s="33">
        <f t="shared" ca="1" si="45"/>
        <v>1.6500016219222826</v>
      </c>
    </row>
    <row r="41" spans="1:73" x14ac:dyDescent="0.25">
      <c r="A41" s="18">
        <v>42254</v>
      </c>
      <c r="B41">
        <v>5122.9475417306367</v>
      </c>
      <c r="D41" s="154">
        <v>42186</v>
      </c>
      <c r="E41" s="58">
        <f>B22</f>
        <v>2685.9889817706153</v>
      </c>
      <c r="L41" s="83">
        <f t="shared" si="11"/>
        <v>2685.9889817706153</v>
      </c>
      <c r="M41" s="68"/>
      <c r="N41" s="62">
        <v>42186</v>
      </c>
      <c r="O41" s="37">
        <f t="shared" si="12"/>
        <v>2685.9889817706153</v>
      </c>
      <c r="P41" s="85">
        <f t="shared" si="13"/>
        <v>3.9384002665258286</v>
      </c>
      <c r="Q41" s="85">
        <f t="shared" si="14"/>
        <v>100.03536676975604</v>
      </c>
      <c r="R41" s="84">
        <f t="shared" si="27"/>
        <v>47984.947554870771</v>
      </c>
      <c r="S41" s="86">
        <f t="shared" si="15"/>
        <v>1.1015828180640672</v>
      </c>
      <c r="T41" s="85">
        <f t="shared" si="16"/>
        <v>70.359160637640429</v>
      </c>
      <c r="U41" s="88">
        <f>LOOKUP(N41,'weather data'!$B$7:$B$158,'weather data'!$C$7:$C$158)</f>
        <v>0</v>
      </c>
      <c r="V41" s="88">
        <f t="shared" si="17"/>
        <v>0</v>
      </c>
      <c r="W41" s="88">
        <f t="shared" si="28"/>
        <v>0.55200000000000005</v>
      </c>
      <c r="X41" s="79">
        <f>LOOKUP(N41,'weather data'!$B$7:$B$158,'weather data'!$E$7:$E$158)</f>
        <v>0.3</v>
      </c>
      <c r="Y41" s="6">
        <v>1</v>
      </c>
      <c r="Z41" s="6">
        <v>31</v>
      </c>
      <c r="AA41" s="95">
        <f t="shared" si="1"/>
        <v>40.991735537190081</v>
      </c>
      <c r="AB41" s="94">
        <f ca="1">FORECAST(AA41,OFFSET(Soils!$K$41:$K$57,MATCH(AA41,Soils!$J$41:$J$57,1)-1,0,2),OFFSET(Soils!$J$41:$J$57,MATCH(AA41,Soils!$J$41:$J$57,1)-1,0,2))</f>
        <v>0.33595041322314045</v>
      </c>
      <c r="AC41" s="92">
        <f t="shared" ca="1" si="34"/>
        <v>1</v>
      </c>
      <c r="AD41" s="92">
        <f t="shared" ca="1" si="18"/>
        <v>0.33595041322314045</v>
      </c>
      <c r="AE41" s="87">
        <f t="shared" ca="1" si="19"/>
        <v>0.10078512396694213</v>
      </c>
      <c r="AF41" s="87">
        <f t="shared" ca="1" si="35"/>
        <v>0.10078512396694213</v>
      </c>
      <c r="AG41" s="87">
        <f t="shared" ca="1" si="36"/>
        <v>1.8492908781206343</v>
      </c>
      <c r="AH41" s="56">
        <f ca="1">FORECAST(AA41,OFFSET(Soils!$L$41:$L$57,MATCH(AA41,Soils!$J$41:$J$57,1)-1,0,2),OFFSET(Soils!$J$41:$J$57,MATCH(AA41,Soils!$J$41:$J$57,1)-1,0,2))</f>
        <v>0.15079019863708865</v>
      </c>
      <c r="AI41" s="27">
        <f t="shared" ca="1" si="3"/>
        <v>0.5138828476149051</v>
      </c>
      <c r="AJ41" s="54"/>
      <c r="AK41" s="54">
        <f t="shared" ca="1" si="4"/>
        <v>0.55499347542409749</v>
      </c>
      <c r="AL41" s="54">
        <f t="shared" ca="1" si="21"/>
        <v>14.096834275772075</v>
      </c>
      <c r="AM41" s="27">
        <f t="shared" ca="1" si="37"/>
        <v>0.16649804262722925</v>
      </c>
      <c r="AN41" s="40">
        <f t="shared" ca="1" si="38"/>
        <v>0.38849543279686827</v>
      </c>
      <c r="AO41" s="27">
        <f t="shared" ca="1" si="39"/>
        <v>9.8504132231404973E-2</v>
      </c>
      <c r="AP41" s="27">
        <f t="shared" ca="1" si="6"/>
        <v>0</v>
      </c>
      <c r="AQ41" s="27">
        <f t="shared" ca="1" si="40"/>
        <v>0.55499347542409749</v>
      </c>
      <c r="AR41" s="27">
        <f t="shared" ca="1" si="41"/>
        <v>1</v>
      </c>
      <c r="AS41" s="27">
        <f t="shared" ca="1" si="8"/>
        <v>3.7391110103274814</v>
      </c>
      <c r="AT41" s="28">
        <f t="shared" ca="1" si="42"/>
        <v>69.061869759519794</v>
      </c>
      <c r="AU41" s="27">
        <f t="shared" ca="1" si="9"/>
        <v>3.7391110103274814</v>
      </c>
      <c r="AV41" s="51">
        <f t="shared" ca="1" si="24"/>
        <v>94.973419662318022</v>
      </c>
      <c r="AW41" s="51">
        <f t="shared" ca="1" si="43"/>
        <v>68.580649173784522</v>
      </c>
      <c r="AX41" s="27">
        <f t="shared" ca="1" si="25"/>
        <v>0</v>
      </c>
      <c r="AY41" s="54">
        <f t="shared" ca="1" si="44"/>
        <v>0.48122058573527648</v>
      </c>
      <c r="AZ41" s="91">
        <f t="shared" si="26"/>
        <v>70.911160637640435</v>
      </c>
      <c r="BA41" s="33">
        <f t="shared" ca="1" si="10"/>
        <v>0.19928925619834725</v>
      </c>
      <c r="BB41" s="33">
        <f t="shared" ca="1" si="45"/>
        <v>1.8492908781206299</v>
      </c>
    </row>
    <row r="42" spans="1:73" x14ac:dyDescent="0.25">
      <c r="A42" s="18">
        <v>42256</v>
      </c>
      <c r="B42">
        <v>2561.4737708653165</v>
      </c>
      <c r="D42" s="154">
        <v>42187</v>
      </c>
      <c r="E42" s="58">
        <v>0</v>
      </c>
      <c r="L42" s="83">
        <f t="shared" si="11"/>
        <v>0</v>
      </c>
      <c r="M42" s="68"/>
      <c r="N42" s="62">
        <v>42187</v>
      </c>
      <c r="O42" s="37">
        <f t="shared" si="12"/>
        <v>0</v>
      </c>
      <c r="P42" s="85">
        <f t="shared" si="13"/>
        <v>0</v>
      </c>
      <c r="Q42" s="85">
        <f t="shared" si="14"/>
        <v>0</v>
      </c>
      <c r="R42" s="84">
        <f t="shared" si="27"/>
        <v>47984.947554870771</v>
      </c>
      <c r="S42" s="86">
        <f t="shared" si="15"/>
        <v>1.1015828180640672</v>
      </c>
      <c r="T42" s="85">
        <f t="shared" si="16"/>
        <v>70.359160637640429</v>
      </c>
      <c r="U42" s="88">
        <f>LOOKUP(N42,'weather data'!$B$7:$B$158,'weather data'!$C$7:$C$158)</f>
        <v>0</v>
      </c>
      <c r="V42" s="88">
        <f t="shared" si="17"/>
        <v>0</v>
      </c>
      <c r="W42" s="88">
        <f t="shared" si="28"/>
        <v>0.55200000000000005</v>
      </c>
      <c r="X42" s="79">
        <f>LOOKUP(N42,'weather data'!$B$7:$B$158,'weather data'!$E$7:$E$158)</f>
        <v>0.28000000000000003</v>
      </c>
      <c r="Y42" s="6">
        <v>1</v>
      </c>
      <c r="Z42" s="6">
        <v>32</v>
      </c>
      <c r="AA42" s="95">
        <f t="shared" si="1"/>
        <v>42.314049586776861</v>
      </c>
      <c r="AB42" s="94">
        <f ca="1">FORECAST(AA42,OFFSET(Soils!$K$41:$K$57,MATCH(AA42,Soils!$J$41:$J$57,1)-1,0,2),OFFSET(Soils!$J$41:$J$57,MATCH(AA42,Soils!$J$41:$J$57,1)-1,0,2))</f>
        <v>0.34388429752066113</v>
      </c>
      <c r="AC42" s="92">
        <f t="shared" ca="1" si="34"/>
        <v>1</v>
      </c>
      <c r="AD42" s="92">
        <f t="shared" ca="1" si="18"/>
        <v>0.34388429752066113</v>
      </c>
      <c r="AE42" s="87">
        <f t="shared" ca="1" si="19"/>
        <v>9.6287603305785133E-2</v>
      </c>
      <c r="AF42" s="87">
        <f t="shared" ca="1" si="35"/>
        <v>9.6287603305785133E-2</v>
      </c>
      <c r="AG42" s="87">
        <f t="shared" ca="1" si="36"/>
        <v>1.9455784814264194</v>
      </c>
      <c r="AH42" s="56">
        <f ca="1">FORECAST(AA42,OFFSET(Soils!$L$41:$L$57,MATCH(AA42,Soils!$J$41:$J$57,1)-1,0,2),OFFSET(Soils!$J$41:$J$57,MATCH(AA42,Soils!$J$41:$J$57,1)-1,0,2))</f>
        <v>0.16470929389589684</v>
      </c>
      <c r="AI42" s="27">
        <f t="shared" ca="1" si="3"/>
        <v>0.53824126431781949</v>
      </c>
      <c r="AJ42" s="54"/>
      <c r="AK42" s="54">
        <f t="shared" ca="1" si="4"/>
        <v>0.58130056546324504</v>
      </c>
      <c r="AL42" s="54">
        <f t="shared" ca="1" si="21"/>
        <v>14.765034362766423</v>
      </c>
      <c r="AM42" s="27">
        <f t="shared" ca="1" si="37"/>
        <v>0.1743901696389735</v>
      </c>
      <c r="AN42" s="40">
        <f t="shared" ca="1" si="38"/>
        <v>0.40691039582427158</v>
      </c>
      <c r="AO42" s="27">
        <f t="shared" ca="1" si="39"/>
        <v>0</v>
      </c>
      <c r="AP42" s="27">
        <f t="shared" ca="1" si="6"/>
        <v>9.6287603305785133E-2</v>
      </c>
      <c r="AQ42" s="27">
        <f t="shared" ca="1" si="40"/>
        <v>0.48501296215745993</v>
      </c>
      <c r="AR42" s="27">
        <f t="shared" ca="1" si="41"/>
        <v>1</v>
      </c>
      <c r="AS42" s="27">
        <f t="shared" ca="1" si="8"/>
        <v>0</v>
      </c>
      <c r="AT42" s="28">
        <f t="shared" ca="1" si="42"/>
        <v>69.061869759519794</v>
      </c>
      <c r="AU42" s="27">
        <f t="shared" ca="1" si="9"/>
        <v>0</v>
      </c>
      <c r="AV42" s="51">
        <f t="shared" ca="1" si="24"/>
        <v>0</v>
      </c>
      <c r="AW42" s="51">
        <f t="shared" ca="1" si="43"/>
        <v>68.580649173784522</v>
      </c>
      <c r="AX42" s="27">
        <f t="shared" ca="1" si="25"/>
        <v>0</v>
      </c>
      <c r="AY42" s="54">
        <f t="shared" ca="1" si="44"/>
        <v>0.48122058573527648</v>
      </c>
      <c r="AZ42" s="91">
        <f t="shared" si="26"/>
        <v>70.911160637640435</v>
      </c>
      <c r="BA42" s="33">
        <f t="shared" ca="1" si="10"/>
        <v>0</v>
      </c>
      <c r="BB42" s="33">
        <f t="shared" ca="1" si="45"/>
        <v>1.8492908781206299</v>
      </c>
    </row>
    <row r="43" spans="1:73" x14ac:dyDescent="0.25">
      <c r="A43" s="18">
        <v>42258</v>
      </c>
      <c r="B43">
        <v>2561.473770865317</v>
      </c>
      <c r="D43" s="154">
        <v>42188</v>
      </c>
      <c r="E43" s="58">
        <f>B23</f>
        <v>2812.6839775335684</v>
      </c>
      <c r="L43" s="83">
        <f t="shared" si="11"/>
        <v>2812.6839775335684</v>
      </c>
      <c r="M43" s="68"/>
      <c r="N43" s="62">
        <v>42188</v>
      </c>
      <c r="O43" s="37">
        <f t="shared" si="12"/>
        <v>2812.6839775335684</v>
      </c>
      <c r="P43" s="85">
        <f t="shared" si="13"/>
        <v>4.1241700550345577</v>
      </c>
      <c r="Q43" s="85">
        <f t="shared" si="14"/>
        <v>104.75391939787777</v>
      </c>
      <c r="R43" s="84">
        <f t="shared" si="27"/>
        <v>50797.631532404339</v>
      </c>
      <c r="S43" s="86">
        <f t="shared" si="15"/>
        <v>1.1661531573095578</v>
      </c>
      <c r="T43" s="85">
        <f t="shared" si="16"/>
        <v>74.483330692674983</v>
      </c>
      <c r="U43" s="88">
        <f>LOOKUP(N43,'weather data'!$B$7:$B$158,'weather data'!$C$7:$C$158)</f>
        <v>0</v>
      </c>
      <c r="V43" s="88">
        <f t="shared" si="17"/>
        <v>0</v>
      </c>
      <c r="W43" s="88">
        <f t="shared" si="28"/>
        <v>0.55200000000000005</v>
      </c>
      <c r="X43" s="79">
        <f>LOOKUP(N43,'weather data'!$B$7:$B$158,'weather data'!$E$7:$E$158)</f>
        <v>0.28999999999999998</v>
      </c>
      <c r="Y43" s="6">
        <v>1</v>
      </c>
      <c r="Z43" s="6">
        <v>33</v>
      </c>
      <c r="AA43" s="95">
        <f t="shared" ref="AA43:AA74" si="46">Z43*160/$Z$131</f>
        <v>43.636363636363633</v>
      </c>
      <c r="AB43" s="94">
        <f ca="1">FORECAST(AA43,OFFSET(Soils!$K$41:$K$57,MATCH(AA43,Soils!$J$41:$J$57,1)-1,0,2),OFFSET(Soils!$J$41:$J$57,MATCH(AA43,Soils!$J$41:$J$57,1)-1,0,2))</f>
        <v>0.35181818181818175</v>
      </c>
      <c r="AC43" s="92">
        <f t="shared" ca="1" si="34"/>
        <v>1</v>
      </c>
      <c r="AD43" s="92">
        <f t="shared" ca="1" si="18"/>
        <v>0.35181818181818175</v>
      </c>
      <c r="AE43" s="87">
        <f t="shared" ca="1" si="19"/>
        <v>0.1020272727272727</v>
      </c>
      <c r="AF43" s="87">
        <f t="shared" ca="1" si="35"/>
        <v>0.1020272727272727</v>
      </c>
      <c r="AG43" s="87">
        <f t="shared" ca="1" si="36"/>
        <v>2.0476057541536923</v>
      </c>
      <c r="AH43" s="56">
        <f ca="1">FORECAST(AA43,OFFSET(Soils!$L$41:$L$57,MATCH(AA43,Soils!$J$41:$J$57,1)-1,0,2),OFFSET(Soils!$J$41:$J$57,MATCH(AA43,Soils!$J$41:$J$57,1)-1,0,2))</f>
        <v>0.17862838915470497</v>
      </c>
      <c r="AI43" s="27">
        <f t="shared" ca="1" si="3"/>
        <v>0.56259968102073366</v>
      </c>
      <c r="AJ43" s="54"/>
      <c r="AK43" s="54">
        <f t="shared" ca="1" si="4"/>
        <v>0.60760765550239237</v>
      </c>
      <c r="AL43" s="54">
        <f t="shared" ca="1" si="21"/>
        <v>15.433234449760766</v>
      </c>
      <c r="AM43" s="27">
        <f t="shared" ca="1" si="37"/>
        <v>0.18228229665071771</v>
      </c>
      <c r="AN43" s="40">
        <f t="shared" ca="1" si="38"/>
        <v>0.42532535885167466</v>
      </c>
      <c r="AO43" s="27">
        <f t="shared" ca="1" si="39"/>
        <v>9.6287603305785133E-2</v>
      </c>
      <c r="AP43" s="27">
        <f t="shared" ref="AP43:AP74" ca="1" si="47">IF(AO43+AF43-P43-V43&lt;0,0,AO43+AF43-P43-V43)</f>
        <v>0</v>
      </c>
      <c r="AQ43" s="27">
        <f t="shared" ca="1" si="40"/>
        <v>0.60760765550239237</v>
      </c>
      <c r="AR43" s="27">
        <f t="shared" ca="1" si="41"/>
        <v>1</v>
      </c>
      <c r="AS43" s="27">
        <f t="shared" ref="AS43:AS74" ca="1" si="48">IF(P43+V43-AF43&gt;AO43,P43+V43-AF43-AO43,0)</f>
        <v>3.9258551790015002</v>
      </c>
      <c r="AT43" s="28">
        <f t="shared" ca="1" si="42"/>
        <v>72.987724938521296</v>
      </c>
      <c r="AU43" s="27">
        <f t="shared" ca="1" si="9"/>
        <v>3.9258551790015002</v>
      </c>
      <c r="AV43" s="51">
        <f t="shared" ca="1" si="24"/>
        <v>99.716721546638098</v>
      </c>
      <c r="AW43" s="51">
        <f t="shared" ca="1" si="43"/>
        <v>72.506504352786024</v>
      </c>
      <c r="AX43" s="27">
        <f t="shared" ca="1" si="25"/>
        <v>0</v>
      </c>
      <c r="AY43" s="54">
        <f t="shared" ca="1" si="44"/>
        <v>0.48122058573527648</v>
      </c>
      <c r="AZ43" s="91">
        <f t="shared" si="26"/>
        <v>75.035330692674989</v>
      </c>
      <c r="BA43" s="33">
        <f t="shared" ref="BA43:BA74" ca="1" si="49">P43+V43-AS43</f>
        <v>0.19831487603305753</v>
      </c>
      <c r="BB43" s="33">
        <f t="shared" ca="1" si="45"/>
        <v>2.0476057541536874</v>
      </c>
    </row>
    <row r="44" spans="1:73" x14ac:dyDescent="0.25">
      <c r="A44" s="18">
        <v>42261</v>
      </c>
      <c r="B44">
        <v>3658.7477915531244</v>
      </c>
      <c r="D44" s="154">
        <v>42189</v>
      </c>
      <c r="E44" s="58">
        <v>0</v>
      </c>
      <c r="L44" s="83">
        <f t="shared" si="11"/>
        <v>0</v>
      </c>
      <c r="M44" s="68"/>
      <c r="N44" s="62">
        <v>42189</v>
      </c>
      <c r="O44" s="37">
        <f t="shared" si="12"/>
        <v>0</v>
      </c>
      <c r="P44" s="85">
        <f t="shared" si="13"/>
        <v>0</v>
      </c>
      <c r="Q44" s="85">
        <f t="shared" si="14"/>
        <v>0</v>
      </c>
      <c r="R44" s="84">
        <f t="shared" si="27"/>
        <v>50797.631532404339</v>
      </c>
      <c r="S44" s="86">
        <f t="shared" si="15"/>
        <v>1.1661531573095578</v>
      </c>
      <c r="T44" s="85">
        <f t="shared" si="16"/>
        <v>74.483330692674983</v>
      </c>
      <c r="U44" s="88">
        <f>LOOKUP(N44,'weather data'!$B$7:$B$158,'weather data'!$C$7:$C$158)</f>
        <v>0</v>
      </c>
      <c r="V44" s="88">
        <f t="shared" si="17"/>
        <v>0</v>
      </c>
      <c r="W44" s="88">
        <f t="shared" si="28"/>
        <v>0.55200000000000005</v>
      </c>
      <c r="X44" s="79">
        <f>LOOKUP(N44,'weather data'!$B$7:$B$158,'weather data'!$E$7:$E$158)</f>
        <v>0.33</v>
      </c>
      <c r="Y44" s="6">
        <v>1</v>
      </c>
      <c r="Z44" s="6">
        <v>34</v>
      </c>
      <c r="AA44" s="95">
        <f t="shared" si="46"/>
        <v>44.958677685950413</v>
      </c>
      <c r="AB44" s="94">
        <f ca="1">FORECAST(AA44,OFFSET(Soils!$K$41:$K$57,MATCH(AA44,Soils!$J$41:$J$57,1)-1,0,2),OFFSET(Soils!$J$41:$J$57,MATCH(AA44,Soils!$J$41:$J$57,1)-1,0,2))</f>
        <v>0.35975206611570243</v>
      </c>
      <c r="AC44" s="92">
        <f t="shared" ca="1" si="34"/>
        <v>1</v>
      </c>
      <c r="AD44" s="92">
        <f t="shared" ca="1" si="18"/>
        <v>0.35975206611570243</v>
      </c>
      <c r="AE44" s="87">
        <f t="shared" ca="1" si="19"/>
        <v>0.11871818181818181</v>
      </c>
      <c r="AF44" s="87">
        <f t="shared" ca="1" si="35"/>
        <v>0.11871818181818181</v>
      </c>
      <c r="AG44" s="87">
        <f t="shared" ca="1" si="36"/>
        <v>2.166323935971874</v>
      </c>
      <c r="AH44" s="56">
        <f ca="1">FORECAST(AA44,OFFSET(Soils!$L$41:$L$57,MATCH(AA44,Soils!$J$41:$J$57,1)-1,0,2),OFFSET(Soils!$J$41:$J$57,MATCH(AA44,Soils!$J$41:$J$57,1)-1,0,2))</f>
        <v>0.19254748441351316</v>
      </c>
      <c r="AI44" s="27">
        <f t="shared" ca="1" si="3"/>
        <v>0.58695809772364804</v>
      </c>
      <c r="AJ44" s="54"/>
      <c r="AK44" s="54">
        <f t="shared" ca="1" si="4"/>
        <v>0.63391474554153993</v>
      </c>
      <c r="AL44" s="54">
        <f t="shared" ca="1" si="21"/>
        <v>16.101434536755114</v>
      </c>
      <c r="AM44" s="27">
        <f t="shared" ca="1" si="37"/>
        <v>0.19017442366246198</v>
      </c>
      <c r="AN44" s="40">
        <f t="shared" ca="1" si="38"/>
        <v>0.44374032187907797</v>
      </c>
      <c r="AO44" s="27">
        <f t="shared" ca="1" si="39"/>
        <v>0</v>
      </c>
      <c r="AP44" s="27">
        <f t="shared" ca="1" si="47"/>
        <v>0.11871818181818181</v>
      </c>
      <c r="AQ44" s="27">
        <f t="shared" ca="1" si="40"/>
        <v>0.51519656372335809</v>
      </c>
      <c r="AR44" s="27">
        <f t="shared" ca="1" si="41"/>
        <v>1</v>
      </c>
      <c r="AS44" s="27">
        <f t="shared" ca="1" si="48"/>
        <v>0</v>
      </c>
      <c r="AT44" s="28">
        <f t="shared" ca="1" si="42"/>
        <v>72.987724938521296</v>
      </c>
      <c r="AU44" s="27">
        <f t="shared" ca="1" si="9"/>
        <v>0</v>
      </c>
      <c r="AV44" s="51">
        <f t="shared" ca="1" si="24"/>
        <v>0</v>
      </c>
      <c r="AW44" s="51">
        <f t="shared" ca="1" si="43"/>
        <v>72.506504352786024</v>
      </c>
      <c r="AX44" s="27">
        <f t="shared" ca="1" si="25"/>
        <v>0</v>
      </c>
      <c r="AY44" s="54">
        <f t="shared" ca="1" si="44"/>
        <v>0.48122058573527648</v>
      </c>
      <c r="AZ44" s="91">
        <f t="shared" ref="AZ44:AZ75" si="50">P44+V44+AZ43</f>
        <v>75.035330692674989</v>
      </c>
      <c r="BA44" s="33">
        <f t="shared" ca="1" si="49"/>
        <v>0</v>
      </c>
      <c r="BB44" s="33">
        <f t="shared" ca="1" si="45"/>
        <v>2.0476057541536874</v>
      </c>
    </row>
    <row r="45" spans="1:73" x14ac:dyDescent="0.25">
      <c r="A45" s="18">
        <v>42268</v>
      </c>
      <c r="B45">
        <v>2561.4737708653183</v>
      </c>
      <c r="D45" s="154">
        <v>42190</v>
      </c>
      <c r="E45" s="58">
        <v>0</v>
      </c>
      <c r="L45" s="83">
        <f t="shared" si="11"/>
        <v>0</v>
      </c>
      <c r="M45" s="68"/>
      <c r="N45" s="62">
        <v>42190</v>
      </c>
      <c r="O45" s="37">
        <f t="shared" si="12"/>
        <v>0</v>
      </c>
      <c r="P45" s="85">
        <f t="shared" si="13"/>
        <v>0</v>
      </c>
      <c r="Q45" s="85">
        <f t="shared" si="14"/>
        <v>0</v>
      </c>
      <c r="R45" s="84">
        <f t="shared" si="27"/>
        <v>50797.631532404339</v>
      </c>
      <c r="S45" s="86">
        <f t="shared" si="15"/>
        <v>1.1661531573095578</v>
      </c>
      <c r="T45" s="85">
        <f t="shared" si="16"/>
        <v>74.483330692674983</v>
      </c>
      <c r="U45" s="88">
        <f>LOOKUP(N45,'weather data'!$B$7:$B$158,'weather data'!$C$7:$C$158)</f>
        <v>0.09</v>
      </c>
      <c r="V45" s="88">
        <f t="shared" si="17"/>
        <v>7.1999999999999995E-2</v>
      </c>
      <c r="W45" s="88">
        <f t="shared" si="28"/>
        <v>0.624</v>
      </c>
      <c r="X45" s="79">
        <f>LOOKUP(N45,'weather data'!$B$7:$B$158,'weather data'!$E$7:$E$158)</f>
        <v>0.2</v>
      </c>
      <c r="Y45" s="6">
        <v>1</v>
      </c>
      <c r="Z45" s="6">
        <v>35</v>
      </c>
      <c r="AA45" s="95">
        <f t="shared" si="46"/>
        <v>46.280991735537192</v>
      </c>
      <c r="AB45" s="94">
        <f ca="1">FORECAST(AA45,OFFSET(Soils!$K$41:$K$57,MATCH(AA45,Soils!$J$41:$J$57,1)-1,0,2),OFFSET(Soils!$J$41:$J$57,MATCH(AA45,Soils!$J$41:$J$57,1)-1,0,2))</f>
        <v>0.36768595041322311</v>
      </c>
      <c r="AC45" s="92">
        <f t="shared" ca="1" si="34"/>
        <v>1</v>
      </c>
      <c r="AD45" s="92">
        <f t="shared" ca="1" si="18"/>
        <v>0.36768595041322311</v>
      </c>
      <c r="AE45" s="87">
        <f t="shared" ca="1" si="19"/>
        <v>7.353719008264463E-2</v>
      </c>
      <c r="AF45" s="87">
        <f t="shared" ca="1" si="35"/>
        <v>7.353719008264463E-2</v>
      </c>
      <c r="AG45" s="87">
        <f t="shared" ca="1" si="36"/>
        <v>2.2398611260545187</v>
      </c>
      <c r="AH45" s="56">
        <f ca="1">FORECAST(AA45,OFFSET(Soils!$L$41:$L$57,MATCH(AA45,Soils!$J$41:$J$57,1)-1,0,2),OFFSET(Soils!$J$41:$J$57,MATCH(AA45,Soils!$J$41:$J$57,1)-1,0,2))</f>
        <v>0.2064665796723214</v>
      </c>
      <c r="AI45" s="27">
        <f t="shared" ca="1" si="3"/>
        <v>0.61131651442656243</v>
      </c>
      <c r="AJ45" s="54"/>
      <c r="AK45" s="54">
        <f t="shared" ca="1" si="4"/>
        <v>0.66022183558068748</v>
      </c>
      <c r="AL45" s="54">
        <f t="shared" ca="1" si="21"/>
        <v>16.769634623749461</v>
      </c>
      <c r="AM45" s="27">
        <f t="shared" ca="1" si="37"/>
        <v>0.19806655067420623</v>
      </c>
      <c r="AN45" s="40">
        <f t="shared" ca="1" si="38"/>
        <v>0.46215528490648128</v>
      </c>
      <c r="AO45" s="27">
        <f t="shared" ca="1" si="39"/>
        <v>0.11871818181818181</v>
      </c>
      <c r="AP45" s="27">
        <f t="shared" ca="1" si="47"/>
        <v>0.12025537190082643</v>
      </c>
      <c r="AQ45" s="27">
        <f t="shared" ca="1" si="40"/>
        <v>0.53996646367986101</v>
      </c>
      <c r="AR45" s="27">
        <f t="shared" ca="1" si="41"/>
        <v>1</v>
      </c>
      <c r="AS45" s="27">
        <f t="shared" ca="1" si="48"/>
        <v>0</v>
      </c>
      <c r="AT45" s="28">
        <f t="shared" ca="1" si="42"/>
        <v>72.987724938521296</v>
      </c>
      <c r="AU45" s="27">
        <f t="shared" ca="1" si="9"/>
        <v>0</v>
      </c>
      <c r="AV45" s="51">
        <f t="shared" ca="1" si="24"/>
        <v>0</v>
      </c>
      <c r="AW45" s="51">
        <f t="shared" ca="1" si="43"/>
        <v>72.506504352786024</v>
      </c>
      <c r="AX45" s="27">
        <f t="shared" ca="1" si="25"/>
        <v>0</v>
      </c>
      <c r="AY45" s="54">
        <f t="shared" ca="1" si="44"/>
        <v>0.48122058573527648</v>
      </c>
      <c r="AZ45" s="91">
        <f t="shared" si="50"/>
        <v>75.107330692674992</v>
      </c>
      <c r="BA45" s="33">
        <f t="shared" ca="1" si="49"/>
        <v>7.1999999999999995E-2</v>
      </c>
      <c r="BB45" s="33">
        <f t="shared" ca="1" si="45"/>
        <v>2.1196057541536875</v>
      </c>
    </row>
    <row r="46" spans="1:73" x14ac:dyDescent="0.25">
      <c r="A46" s="18">
        <v>42270</v>
      </c>
      <c r="B46">
        <v>2561</v>
      </c>
      <c r="D46" s="154">
        <v>42191</v>
      </c>
      <c r="E46" s="58">
        <v>0</v>
      </c>
      <c r="L46" s="83">
        <f t="shared" si="11"/>
        <v>0</v>
      </c>
      <c r="M46" s="68"/>
      <c r="N46" s="62">
        <v>42191</v>
      </c>
      <c r="O46" s="37">
        <f t="shared" si="12"/>
        <v>0</v>
      </c>
      <c r="P46" s="85">
        <f t="shared" si="13"/>
        <v>0</v>
      </c>
      <c r="Q46" s="85">
        <f t="shared" si="14"/>
        <v>0</v>
      </c>
      <c r="R46" s="84">
        <f t="shared" si="27"/>
        <v>50797.631532404339</v>
      </c>
      <c r="S46" s="86">
        <f t="shared" si="15"/>
        <v>1.1661531573095578</v>
      </c>
      <c r="T46" s="85">
        <f t="shared" si="16"/>
        <v>74.483330692674983</v>
      </c>
      <c r="U46" s="88">
        <f>LOOKUP(N46,'weather data'!$B$7:$B$158,'weather data'!$C$7:$C$158)</f>
        <v>0</v>
      </c>
      <c r="V46" s="88">
        <f t="shared" si="17"/>
        <v>0</v>
      </c>
      <c r="W46" s="88">
        <f t="shared" si="28"/>
        <v>0.624</v>
      </c>
      <c r="X46" s="79">
        <f>LOOKUP(N46,'weather data'!$B$7:$B$158,'weather data'!$E$7:$E$158)</f>
        <v>0.25</v>
      </c>
      <c r="Y46" s="6">
        <v>1</v>
      </c>
      <c r="Z46" s="6">
        <v>36</v>
      </c>
      <c r="AA46" s="95">
        <f t="shared" si="46"/>
        <v>47.603305785123965</v>
      </c>
      <c r="AB46" s="94">
        <f ca="1">FORECAST(AA46,OFFSET(Soils!$K$41:$K$57,MATCH(AA46,Soils!$J$41:$J$57,1)-1,0,2),OFFSET(Soils!$J$41:$J$57,MATCH(AA46,Soils!$J$41:$J$57,1)-1,0,2))</f>
        <v>0.37561983471074378</v>
      </c>
      <c r="AC46" s="92">
        <f t="shared" ca="1" si="34"/>
        <v>1</v>
      </c>
      <c r="AD46" s="92">
        <f t="shared" ca="1" si="18"/>
        <v>0.37561983471074378</v>
      </c>
      <c r="AE46" s="87">
        <f t="shared" ca="1" si="19"/>
        <v>9.3904958677685946E-2</v>
      </c>
      <c r="AF46" s="87">
        <f t="shared" ca="1" si="35"/>
        <v>9.3904958677685946E-2</v>
      </c>
      <c r="AG46" s="87">
        <f t="shared" ca="1" si="36"/>
        <v>2.3337660847322046</v>
      </c>
      <c r="AH46" s="56">
        <f ca="1">FORECAST(AA46,OFFSET(Soils!$L$41:$L$57,MATCH(AA46,Soils!$J$41:$J$57,1)-1,0,2),OFFSET(Soils!$J$41:$J$57,MATCH(AA46,Soils!$J$41:$J$57,1)-1,0,2))</f>
        <v>0.22038567493112954</v>
      </c>
      <c r="AI46" s="27">
        <f t="shared" ca="1" si="3"/>
        <v>0.63567493112947671</v>
      </c>
      <c r="AJ46" s="54"/>
      <c r="AK46" s="54">
        <f t="shared" ca="1" si="4"/>
        <v>0.68652892561983492</v>
      </c>
      <c r="AL46" s="54">
        <f t="shared" ca="1" si="21"/>
        <v>17.437834710743807</v>
      </c>
      <c r="AM46" s="27">
        <f t="shared" ca="1" si="37"/>
        <v>0.20595867768595047</v>
      </c>
      <c r="AN46" s="40">
        <f t="shared" ca="1" si="38"/>
        <v>0.48057024793388448</v>
      </c>
      <c r="AO46" s="27">
        <f t="shared" ca="1" si="39"/>
        <v>0.12025537190082643</v>
      </c>
      <c r="AP46" s="27">
        <f t="shared" ca="1" si="47"/>
        <v>0.21416033057851236</v>
      </c>
      <c r="AQ46" s="27">
        <f t="shared" ca="1" si="40"/>
        <v>0.47236859504132256</v>
      </c>
      <c r="AR46" s="27">
        <f t="shared" ca="1" si="41"/>
        <v>1</v>
      </c>
      <c r="AS46" s="27">
        <f t="shared" ca="1" si="48"/>
        <v>0</v>
      </c>
      <c r="AT46" s="28">
        <f t="shared" ca="1" si="42"/>
        <v>72.987724938521296</v>
      </c>
      <c r="AU46" s="27">
        <f t="shared" ca="1" si="9"/>
        <v>0</v>
      </c>
      <c r="AV46" s="51">
        <f t="shared" ca="1" si="24"/>
        <v>0</v>
      </c>
      <c r="AW46" s="51">
        <f t="shared" ca="1" si="43"/>
        <v>72.506504352786024</v>
      </c>
      <c r="AX46" s="27">
        <f t="shared" ca="1" si="25"/>
        <v>0</v>
      </c>
      <c r="AY46" s="54">
        <f t="shared" ca="1" si="44"/>
        <v>0.48122058573527648</v>
      </c>
      <c r="AZ46" s="91">
        <f t="shared" si="50"/>
        <v>75.107330692674992</v>
      </c>
      <c r="BA46" s="33">
        <f t="shared" ca="1" si="49"/>
        <v>0</v>
      </c>
      <c r="BB46" s="33">
        <f t="shared" ca="1" si="45"/>
        <v>2.1196057541536875</v>
      </c>
    </row>
    <row r="47" spans="1:73" x14ac:dyDescent="0.25">
      <c r="A47" s="18">
        <v>42272</v>
      </c>
      <c r="B47">
        <v>2561.473770865317</v>
      </c>
      <c r="D47" s="154">
        <v>42192</v>
      </c>
      <c r="E47" s="58">
        <v>0</v>
      </c>
      <c r="L47" s="83">
        <f t="shared" si="11"/>
        <v>0</v>
      </c>
      <c r="M47" s="68"/>
      <c r="N47" s="62">
        <v>42192</v>
      </c>
      <c r="O47" s="37">
        <f t="shared" si="12"/>
        <v>0</v>
      </c>
      <c r="P47" s="85">
        <f t="shared" si="13"/>
        <v>0</v>
      </c>
      <c r="Q47" s="85">
        <f t="shared" si="14"/>
        <v>0</v>
      </c>
      <c r="R47" s="84">
        <f t="shared" si="27"/>
        <v>50797.631532404339</v>
      </c>
      <c r="S47" s="86">
        <f t="shared" si="15"/>
        <v>1.1661531573095578</v>
      </c>
      <c r="T47" s="85">
        <f t="shared" si="16"/>
        <v>74.483330692674983</v>
      </c>
      <c r="U47" s="88">
        <f>LOOKUP(N47,'weather data'!$B$7:$B$158,'weather data'!$C$7:$C$158)</f>
        <v>0</v>
      </c>
      <c r="V47" s="88">
        <f t="shared" si="17"/>
        <v>0</v>
      </c>
      <c r="W47" s="88">
        <f t="shared" si="28"/>
        <v>0.624</v>
      </c>
      <c r="X47" s="79">
        <f>LOOKUP(N47,'weather data'!$B$7:$B$158,'weather data'!$E$7:$E$158)</f>
        <v>0.22</v>
      </c>
      <c r="Y47" s="6">
        <v>1</v>
      </c>
      <c r="Z47" s="6">
        <v>37</v>
      </c>
      <c r="AA47" s="95">
        <f t="shared" si="46"/>
        <v>48.925619834710744</v>
      </c>
      <c r="AB47" s="94">
        <f ca="1">FORECAST(AA47,OFFSET(Soils!$K$41:$K$57,MATCH(AA47,Soils!$J$41:$J$57,1)-1,0,2),OFFSET(Soils!$J$41:$J$57,MATCH(AA47,Soils!$J$41:$J$57,1)-1,0,2))</f>
        <v>0.38355371900826446</v>
      </c>
      <c r="AC47" s="92">
        <f t="shared" ca="1" si="34"/>
        <v>0.99937968926930443</v>
      </c>
      <c r="AD47" s="92">
        <f t="shared" ca="1" si="18"/>
        <v>0.38331579652056547</v>
      </c>
      <c r="AE47" s="87">
        <f t="shared" ca="1" si="19"/>
        <v>8.4381818181818183E-2</v>
      </c>
      <c r="AF47" s="87">
        <f t="shared" ca="1" si="35"/>
        <v>8.4329475234524401E-2</v>
      </c>
      <c r="AG47" s="87">
        <f t="shared" ca="1" si="36"/>
        <v>2.4180955599667291</v>
      </c>
      <c r="AH47" s="56">
        <f ca="1">FORECAST(AA47,OFFSET(Soils!$L$41:$L$57,MATCH(AA47,Soils!$J$41:$J$57,1)-1,0,2),OFFSET(Soils!$J$41:$J$57,MATCH(AA47,Soils!$J$41:$J$57,1)-1,0,2))</f>
        <v>0.23430477018993773</v>
      </c>
      <c r="AI47" s="27">
        <f t="shared" ca="1" si="3"/>
        <v>0.66003334783239098</v>
      </c>
      <c r="AJ47" s="54"/>
      <c r="AK47" s="54">
        <f t="shared" ca="1" si="4"/>
        <v>0.71283601565898236</v>
      </c>
      <c r="AL47" s="54">
        <f t="shared" ca="1" si="21"/>
        <v>18.10603479773815</v>
      </c>
      <c r="AM47" s="27">
        <f t="shared" ca="1" si="37"/>
        <v>0.21385080469769471</v>
      </c>
      <c r="AN47" s="40">
        <f t="shared" ca="1" si="38"/>
        <v>0.49898521096128767</v>
      </c>
      <c r="AO47" s="27">
        <f t="shared" ca="1" si="39"/>
        <v>0.21416033057851236</v>
      </c>
      <c r="AP47" s="27">
        <f t="shared" ca="1" si="47"/>
        <v>0.29848980581303675</v>
      </c>
      <c r="AQ47" s="27">
        <f t="shared" ca="1" si="40"/>
        <v>0.41434620984594561</v>
      </c>
      <c r="AR47" s="27">
        <f t="shared" ca="1" si="41"/>
        <v>0.99937968926930443</v>
      </c>
      <c r="AS47" s="27">
        <f t="shared" ca="1" si="48"/>
        <v>0</v>
      </c>
      <c r="AT47" s="28">
        <f t="shared" ca="1" si="42"/>
        <v>72.987724938521296</v>
      </c>
      <c r="AU47" s="27">
        <f t="shared" ca="1" si="9"/>
        <v>0</v>
      </c>
      <c r="AV47" s="51">
        <f t="shared" ca="1" si="24"/>
        <v>0</v>
      </c>
      <c r="AW47" s="51">
        <f t="shared" ca="1" si="43"/>
        <v>72.506504352786024</v>
      </c>
      <c r="AX47" s="27">
        <f t="shared" ca="1" si="25"/>
        <v>0</v>
      </c>
      <c r="AY47" s="54">
        <f t="shared" ca="1" si="44"/>
        <v>0.48122058573527648</v>
      </c>
      <c r="AZ47" s="91">
        <f t="shared" si="50"/>
        <v>75.107330692674992</v>
      </c>
      <c r="BA47" s="33">
        <f t="shared" ca="1" si="49"/>
        <v>0</v>
      </c>
      <c r="BB47" s="33">
        <f t="shared" ca="1" si="45"/>
        <v>2.1196057541536875</v>
      </c>
    </row>
    <row r="48" spans="1:73" x14ac:dyDescent="0.25">
      <c r="A48" s="18">
        <v>42275</v>
      </c>
      <c r="B48">
        <v>2439.1651943687511</v>
      </c>
      <c r="D48" s="154">
        <v>42193</v>
      </c>
      <c r="E48" s="58">
        <v>0</v>
      </c>
      <c r="L48" s="83">
        <f t="shared" si="11"/>
        <v>0</v>
      </c>
      <c r="M48" s="68"/>
      <c r="N48" s="62">
        <v>42193</v>
      </c>
      <c r="O48" s="37">
        <f t="shared" si="12"/>
        <v>0</v>
      </c>
      <c r="P48" s="85">
        <f t="shared" si="13"/>
        <v>0</v>
      </c>
      <c r="Q48" s="85">
        <f t="shared" si="14"/>
        <v>0</v>
      </c>
      <c r="R48" s="84">
        <f t="shared" si="27"/>
        <v>50797.631532404339</v>
      </c>
      <c r="S48" s="86">
        <f t="shared" si="15"/>
        <v>1.1661531573095578</v>
      </c>
      <c r="T48" s="85">
        <f t="shared" si="16"/>
        <v>74.483330692674983</v>
      </c>
      <c r="U48" s="88">
        <f>LOOKUP(N48,'weather data'!$B$7:$B$158,'weather data'!$C$7:$C$158)</f>
        <v>0.25</v>
      </c>
      <c r="V48" s="88">
        <f t="shared" si="17"/>
        <v>0.2</v>
      </c>
      <c r="W48" s="88">
        <f t="shared" si="28"/>
        <v>0.82400000000000007</v>
      </c>
      <c r="X48" s="79">
        <f>LOOKUP(N48,'weather data'!$B$7:$B$158,'weather data'!$E$7:$E$158)</f>
        <v>0.11</v>
      </c>
      <c r="Y48" s="6">
        <v>1</v>
      </c>
      <c r="Z48" s="6">
        <v>38</v>
      </c>
      <c r="AA48" s="95">
        <f t="shared" si="46"/>
        <v>50.247933884297524</v>
      </c>
      <c r="AB48" s="94">
        <f ca="1">FORECAST(AA48,OFFSET(Soils!$K$41:$K$57,MATCH(AA48,Soils!$J$41:$J$57,1)-1,0,2),OFFSET(Soils!$J$41:$J$57,MATCH(AA48,Soils!$J$41:$J$57,1)-1,0,2))</f>
        <v>0.39173553719008269</v>
      </c>
      <c r="AC48" s="92">
        <f t="shared" ca="1" si="34"/>
        <v>0.85230918407544731</v>
      </c>
      <c r="AD48" s="92">
        <f t="shared" ca="1" si="18"/>
        <v>0.33387979607583645</v>
      </c>
      <c r="AE48" s="87">
        <f t="shared" ca="1" si="19"/>
        <v>4.3090909090909096E-2</v>
      </c>
      <c r="AF48" s="87">
        <f t="shared" ca="1" si="35"/>
        <v>3.6726777568342008E-2</v>
      </c>
      <c r="AG48" s="87">
        <f t="shared" ca="1" si="36"/>
        <v>2.4548223375350711</v>
      </c>
      <c r="AH48" s="56">
        <f ca="1">FORECAST(AA48,OFFSET(Soils!$L$41:$L$57,MATCH(AA48,Soils!$J$41:$J$57,1)-1,0,2),OFFSET(Soils!$J$41:$J$57,MATCH(AA48,Soils!$J$41:$J$57,1)-1,0,2))</f>
        <v>0.24865883717558368</v>
      </c>
      <c r="AI48" s="27">
        <f t="shared" ca="1" si="3"/>
        <v>0.68515296505727141</v>
      </c>
      <c r="AJ48" s="54"/>
      <c r="AK48" s="54">
        <f t="shared" ca="1" si="4"/>
        <v>0.73996520226185314</v>
      </c>
      <c r="AL48" s="54">
        <f t="shared" ca="1" si="21"/>
        <v>18.795116137451068</v>
      </c>
      <c r="AM48" s="27">
        <f t="shared" ca="1" si="37"/>
        <v>0.22198956067855594</v>
      </c>
      <c r="AN48" s="40">
        <f t="shared" ca="1" si="38"/>
        <v>0.51797564158329723</v>
      </c>
      <c r="AO48" s="27">
        <f t="shared" ca="1" si="39"/>
        <v>0.29848980581303675</v>
      </c>
      <c r="AP48" s="27">
        <f t="shared" ca="1" si="47"/>
        <v>0.13521658338137876</v>
      </c>
      <c r="AQ48" s="27">
        <f t="shared" ca="1" si="40"/>
        <v>0.60474861888047438</v>
      </c>
      <c r="AR48" s="27">
        <f t="shared" ca="1" si="41"/>
        <v>0.85230918407544731</v>
      </c>
      <c r="AS48" s="27">
        <f t="shared" ca="1" si="48"/>
        <v>0</v>
      </c>
      <c r="AT48" s="28">
        <f t="shared" ca="1" si="42"/>
        <v>72.987724938521296</v>
      </c>
      <c r="AU48" s="27">
        <f t="shared" ca="1" si="9"/>
        <v>0</v>
      </c>
      <c r="AV48" s="51">
        <f t="shared" ca="1" si="24"/>
        <v>0</v>
      </c>
      <c r="AW48" s="51">
        <f t="shared" ca="1" si="43"/>
        <v>72.506504352786024</v>
      </c>
      <c r="AX48" s="27">
        <f t="shared" ca="1" si="25"/>
        <v>0</v>
      </c>
      <c r="AY48" s="54">
        <f t="shared" ca="1" si="44"/>
        <v>0.48122058573527648</v>
      </c>
      <c r="AZ48" s="91">
        <f t="shared" si="50"/>
        <v>75.307330692674995</v>
      </c>
      <c r="BA48" s="33">
        <f t="shared" ca="1" si="49"/>
        <v>0.2</v>
      </c>
      <c r="BB48" s="33">
        <f t="shared" ca="1" si="45"/>
        <v>2.3196057541536876</v>
      </c>
    </row>
    <row r="49" spans="1:54" x14ac:dyDescent="0.25">
      <c r="A49" s="18" t="s">
        <v>354</v>
      </c>
      <c r="B49">
        <v>154363.44358751271</v>
      </c>
      <c r="D49" s="154">
        <v>42194</v>
      </c>
      <c r="E49" s="58">
        <v>0</v>
      </c>
      <c r="L49" s="83">
        <f t="shared" si="11"/>
        <v>0</v>
      </c>
      <c r="M49" s="68"/>
      <c r="N49" s="62">
        <v>42194</v>
      </c>
      <c r="O49" s="37">
        <f t="shared" si="12"/>
        <v>0</v>
      </c>
      <c r="P49" s="85">
        <f t="shared" si="13"/>
        <v>0</v>
      </c>
      <c r="Q49" s="85">
        <f t="shared" si="14"/>
        <v>0</v>
      </c>
      <c r="R49" s="84">
        <f t="shared" si="27"/>
        <v>50797.631532404339</v>
      </c>
      <c r="S49" s="86">
        <f t="shared" si="15"/>
        <v>1.1661531573095578</v>
      </c>
      <c r="T49" s="85">
        <f t="shared" si="16"/>
        <v>74.483330692674983</v>
      </c>
      <c r="U49" s="88">
        <f>LOOKUP(N49,'weather data'!$B$7:$B$158,'weather data'!$C$7:$C$158)</f>
        <v>0.19</v>
      </c>
      <c r="V49" s="88">
        <f t="shared" si="17"/>
        <v>0.15200000000000002</v>
      </c>
      <c r="W49" s="88">
        <f t="shared" si="28"/>
        <v>0.97600000000000009</v>
      </c>
      <c r="X49" s="79">
        <f>LOOKUP(N49,'weather data'!$B$7:$B$158,'weather data'!$E$7:$E$158)</f>
        <v>0.25</v>
      </c>
      <c r="Y49" s="6">
        <v>1</v>
      </c>
      <c r="Z49" s="6">
        <v>39</v>
      </c>
      <c r="AA49" s="95">
        <f t="shared" si="46"/>
        <v>51.570247933884296</v>
      </c>
      <c r="AB49" s="94">
        <f ca="1">FORECAST(AA49,OFFSET(Soils!$K$41:$K$57,MATCH(AA49,Soils!$J$41:$J$57,1)-1,0,2),OFFSET(Soils!$J$41:$J$57,MATCH(AA49,Soils!$J$41:$J$57,1)-1,0,2))</f>
        <v>0.40099173553719009</v>
      </c>
      <c r="AC49" s="92">
        <f t="shared" ca="1" si="34"/>
        <v>1</v>
      </c>
      <c r="AD49" s="92">
        <f t="shared" ca="1" si="18"/>
        <v>0.40099173553719009</v>
      </c>
      <c r="AE49" s="87">
        <f t="shared" ca="1" si="19"/>
        <v>0.10024793388429752</v>
      </c>
      <c r="AF49" s="87">
        <f t="shared" ca="1" si="35"/>
        <v>0.10024793388429752</v>
      </c>
      <c r="AG49" s="87">
        <f t="shared" ca="1" si="36"/>
        <v>2.5550702714193685</v>
      </c>
      <c r="AH49" s="56">
        <f ca="1">FORECAST(AA49,OFFSET(Soils!$L$41:$L$57,MATCH(AA49,Soils!$J$41:$J$57,1)-1,0,2),OFFSET(Soils!$J$41:$J$57,MATCH(AA49,Soils!$J$41:$J$57,1)-1,0,2))</f>
        <v>0.26489778164419309</v>
      </c>
      <c r="AI49" s="27">
        <f t="shared" ca="1" si="3"/>
        <v>0.71357111787733785</v>
      </c>
      <c r="AJ49" s="54"/>
      <c r="AK49" s="54">
        <f t="shared" ca="1" si="4"/>
        <v>0.77065680730752495</v>
      </c>
      <c r="AL49" s="54">
        <f t="shared" ca="1" si="21"/>
        <v>19.574682905611134</v>
      </c>
      <c r="AM49" s="27">
        <f t="shared" ca="1" si="37"/>
        <v>0.23119704219225748</v>
      </c>
      <c r="AN49" s="40">
        <f t="shared" ca="1" si="38"/>
        <v>0.5394597651152675</v>
      </c>
      <c r="AO49" s="27">
        <f t="shared" ca="1" si="39"/>
        <v>0.13521658338137876</v>
      </c>
      <c r="AP49" s="27">
        <f t="shared" ca="1" si="47"/>
        <v>8.3464517265676275E-2</v>
      </c>
      <c r="AQ49" s="27">
        <f t="shared" ca="1" si="40"/>
        <v>0.68719229004184867</v>
      </c>
      <c r="AR49" s="27">
        <f t="shared" ca="1" si="41"/>
        <v>1</v>
      </c>
      <c r="AS49" s="27">
        <f t="shared" ca="1" si="48"/>
        <v>0</v>
      </c>
      <c r="AT49" s="28">
        <f t="shared" ca="1" si="42"/>
        <v>72.987724938521296</v>
      </c>
      <c r="AU49" s="27">
        <f t="shared" ca="1" si="9"/>
        <v>0</v>
      </c>
      <c r="AV49" s="51">
        <f t="shared" ca="1" si="24"/>
        <v>0</v>
      </c>
      <c r="AW49" s="51">
        <f t="shared" ca="1" si="43"/>
        <v>72.506504352786024</v>
      </c>
      <c r="AX49" s="27">
        <f t="shared" ca="1" si="25"/>
        <v>0</v>
      </c>
      <c r="AY49" s="54">
        <f t="shared" ca="1" si="44"/>
        <v>0.48122058573527648</v>
      </c>
      <c r="AZ49" s="91">
        <f t="shared" si="50"/>
        <v>75.459330692674996</v>
      </c>
      <c r="BA49" s="33">
        <f t="shared" ca="1" si="49"/>
        <v>0.15200000000000002</v>
      </c>
      <c r="BB49" s="33">
        <f t="shared" ca="1" si="45"/>
        <v>2.4716057541536878</v>
      </c>
    </row>
    <row r="50" spans="1:54" x14ac:dyDescent="0.25">
      <c r="A50" s="18" t="s">
        <v>351</v>
      </c>
      <c r="B50">
        <v>8184.22</v>
      </c>
      <c r="D50" s="154">
        <v>42195</v>
      </c>
      <c r="E50" s="58">
        <f>B24</f>
        <v>2561.473770865317</v>
      </c>
      <c r="L50" s="83">
        <f t="shared" si="11"/>
        <v>2561.473770865317</v>
      </c>
      <c r="M50" s="68"/>
      <c r="N50" s="62">
        <v>42195</v>
      </c>
      <c r="O50" s="37">
        <f t="shared" si="12"/>
        <v>2561.473770865317</v>
      </c>
      <c r="P50" s="85">
        <f t="shared" si="13"/>
        <v>3.7558266434975325</v>
      </c>
      <c r="Q50" s="85">
        <f t="shared" si="14"/>
        <v>95.397996744837315</v>
      </c>
      <c r="R50" s="84">
        <f t="shared" si="27"/>
        <v>53359.105303269658</v>
      </c>
      <c r="S50" s="86">
        <f t="shared" si="15"/>
        <v>1.2249565037481556</v>
      </c>
      <c r="T50" s="85">
        <f t="shared" si="16"/>
        <v>78.239157336172511</v>
      </c>
      <c r="U50" s="88">
        <f>LOOKUP(N50,'weather data'!$B$7:$B$158,'weather data'!$C$7:$C$158)</f>
        <v>0</v>
      </c>
      <c r="V50" s="88">
        <f t="shared" si="17"/>
        <v>0</v>
      </c>
      <c r="W50" s="88">
        <f t="shared" si="28"/>
        <v>0.97600000000000009</v>
      </c>
      <c r="X50" s="79">
        <f>LOOKUP(N50,'weather data'!$B$7:$B$158,'weather data'!$E$7:$E$158)</f>
        <v>0.31</v>
      </c>
      <c r="Y50" s="6">
        <v>1</v>
      </c>
      <c r="Z50" s="6">
        <v>40</v>
      </c>
      <c r="AA50" s="95">
        <f t="shared" si="46"/>
        <v>52.892561983471076</v>
      </c>
      <c r="AB50" s="94">
        <f ca="1">FORECAST(AA50,OFFSET(Soils!$K$41:$K$57,MATCH(AA50,Soils!$J$41:$J$57,1)-1,0,2),OFFSET(Soils!$J$41:$J$57,MATCH(AA50,Soils!$J$41:$J$57,1)-1,0,2))</f>
        <v>0.41024793388429759</v>
      </c>
      <c r="AC50" s="92">
        <f t="shared" ca="1" si="34"/>
        <v>1</v>
      </c>
      <c r="AD50" s="92">
        <f t="shared" ca="1" si="18"/>
        <v>0.41024793388429759</v>
      </c>
      <c r="AE50" s="87">
        <f t="shared" ca="1" si="19"/>
        <v>0.12717685950413224</v>
      </c>
      <c r="AF50" s="87">
        <f t="shared" ca="1" si="35"/>
        <v>0.12717685950413224</v>
      </c>
      <c r="AG50" s="87">
        <f t="shared" ca="1" si="36"/>
        <v>2.6822471309235008</v>
      </c>
      <c r="AH50" s="56">
        <f ca="1">FORECAST(AA50,OFFSET(Soils!$L$41:$L$57,MATCH(AA50,Soils!$J$41:$J$57,1)-1,0,2),OFFSET(Soils!$J$41:$J$57,MATCH(AA50,Soils!$J$41:$J$57,1)-1,0,2))</f>
        <v>0.28113672611280272</v>
      </c>
      <c r="AI50" s="27">
        <f t="shared" ca="1" si="3"/>
        <v>0.74198927069740472</v>
      </c>
      <c r="AJ50" s="54"/>
      <c r="AK50" s="54">
        <f t="shared" ca="1" si="4"/>
        <v>0.8013484123531972</v>
      </c>
      <c r="AL50" s="54">
        <f t="shared" ca="1" si="21"/>
        <v>20.354249673771207</v>
      </c>
      <c r="AM50" s="27">
        <f t="shared" ca="1" si="37"/>
        <v>0.24040452370595916</v>
      </c>
      <c r="AN50" s="40">
        <f t="shared" ca="1" si="38"/>
        <v>0.56094388864723799</v>
      </c>
      <c r="AO50" s="27">
        <f t="shared" ca="1" si="39"/>
        <v>8.3464517265676275E-2</v>
      </c>
      <c r="AP50" s="27">
        <f t="shared" ca="1" si="47"/>
        <v>0</v>
      </c>
      <c r="AQ50" s="27">
        <f t="shared" ca="1" si="40"/>
        <v>0.8013484123531972</v>
      </c>
      <c r="AR50" s="27">
        <f t="shared" ca="1" si="41"/>
        <v>1</v>
      </c>
      <c r="AS50" s="27">
        <f t="shared" ca="1" si="48"/>
        <v>3.5451852667277239</v>
      </c>
      <c r="AT50" s="28">
        <f t="shared" ca="1" si="42"/>
        <v>76.532910205249024</v>
      </c>
      <c r="AU50" s="27">
        <f t="shared" ca="1" si="9"/>
        <v>3.5451852667277239</v>
      </c>
      <c r="AV50" s="51">
        <f t="shared" ca="1" si="24"/>
        <v>90.047705774884179</v>
      </c>
      <c r="AW50" s="51">
        <f t="shared" ca="1" si="43"/>
        <v>76.051689619513752</v>
      </c>
      <c r="AX50" s="27">
        <f t="shared" ca="1" si="25"/>
        <v>0</v>
      </c>
      <c r="AY50" s="54">
        <f t="shared" ca="1" si="44"/>
        <v>0.48122058573527648</v>
      </c>
      <c r="AZ50" s="91">
        <f t="shared" si="50"/>
        <v>79.215157336172524</v>
      </c>
      <c r="BA50" s="33">
        <f t="shared" ca="1" si="49"/>
        <v>0.21064137676980854</v>
      </c>
      <c r="BB50" s="33">
        <f t="shared" ca="1" si="45"/>
        <v>2.6822471309234963</v>
      </c>
    </row>
    <row r="51" spans="1:54" x14ac:dyDescent="0.25">
      <c r="A51" s="18" t="s">
        <v>355</v>
      </c>
      <c r="B51">
        <v>226.33327587114624</v>
      </c>
      <c r="D51" s="154">
        <v>42196</v>
      </c>
      <c r="E51" s="58">
        <v>0</v>
      </c>
      <c r="L51" s="83">
        <f t="shared" si="11"/>
        <v>0</v>
      </c>
      <c r="M51" s="68"/>
      <c r="N51" s="62">
        <v>42196</v>
      </c>
      <c r="O51" s="37">
        <f t="shared" si="12"/>
        <v>0</v>
      </c>
      <c r="P51" s="85">
        <f t="shared" si="13"/>
        <v>0</v>
      </c>
      <c r="Q51" s="85">
        <f t="shared" si="14"/>
        <v>0</v>
      </c>
      <c r="R51" s="84">
        <f t="shared" si="27"/>
        <v>53359.105303269658</v>
      </c>
      <c r="S51" s="86">
        <f t="shared" si="15"/>
        <v>1.2249565037481556</v>
      </c>
      <c r="T51" s="85">
        <f t="shared" si="16"/>
        <v>78.239157336172511</v>
      </c>
      <c r="U51" s="88">
        <f>LOOKUP(N51,'weather data'!$B$7:$B$158,'weather data'!$C$7:$C$158)</f>
        <v>0</v>
      </c>
      <c r="V51" s="88">
        <f t="shared" si="17"/>
        <v>0</v>
      </c>
      <c r="W51" s="88">
        <f t="shared" si="28"/>
        <v>0.97600000000000009</v>
      </c>
      <c r="X51" s="79">
        <f>LOOKUP(N51,'weather data'!$B$7:$B$158,'weather data'!$E$7:$E$158)</f>
        <v>0.32</v>
      </c>
      <c r="Y51" s="6">
        <v>1</v>
      </c>
      <c r="Z51" s="6">
        <v>41</v>
      </c>
      <c r="AA51" s="95">
        <f t="shared" si="46"/>
        <v>54.214876033057848</v>
      </c>
      <c r="AB51" s="94">
        <f ca="1">FORECAST(AA51,OFFSET(Soils!$K$41:$K$57,MATCH(AA51,Soils!$J$41:$J$57,1)-1,0,2),OFFSET(Soils!$J$41:$J$57,MATCH(AA51,Soils!$J$41:$J$57,1)-1,0,2))</f>
        <v>0.41950413223140498</v>
      </c>
      <c r="AC51" s="92">
        <f t="shared" ca="1" si="34"/>
        <v>1</v>
      </c>
      <c r="AD51" s="92">
        <f t="shared" ca="1" si="18"/>
        <v>0.41950413223140498</v>
      </c>
      <c r="AE51" s="87">
        <f t="shared" ca="1" si="19"/>
        <v>0.13424132231404959</v>
      </c>
      <c r="AF51" s="87">
        <f t="shared" ca="1" si="35"/>
        <v>0.13424132231404959</v>
      </c>
      <c r="AG51" s="87">
        <f t="shared" ca="1" si="36"/>
        <v>2.8164884532375503</v>
      </c>
      <c r="AH51" s="56">
        <f ca="1">FORECAST(AA51,OFFSET(Soils!$L$41:$L$57,MATCH(AA51,Soils!$J$41:$J$57,1)-1,0,2),OFFSET(Soils!$J$41:$J$57,MATCH(AA51,Soils!$J$41:$J$57,1)-1,0,2))</f>
        <v>0.29737567058141223</v>
      </c>
      <c r="AI51" s="27">
        <f t="shared" ca="1" si="3"/>
        <v>0.77040742351747138</v>
      </c>
      <c r="AJ51" s="54"/>
      <c r="AK51" s="54">
        <f t="shared" ca="1" si="4"/>
        <v>0.83204001739886913</v>
      </c>
      <c r="AL51" s="54">
        <f t="shared" ca="1" si="21"/>
        <v>21.133816441931273</v>
      </c>
      <c r="AM51" s="27">
        <f t="shared" ca="1" si="37"/>
        <v>0.24961200521966073</v>
      </c>
      <c r="AN51" s="40">
        <f t="shared" ca="1" si="38"/>
        <v>0.58242801217920837</v>
      </c>
      <c r="AO51" s="27">
        <f t="shared" ca="1" si="39"/>
        <v>0</v>
      </c>
      <c r="AP51" s="27">
        <f t="shared" ca="1" si="47"/>
        <v>0.13424132231404959</v>
      </c>
      <c r="AQ51" s="27">
        <f t="shared" ca="1" si="40"/>
        <v>0.69779869508481951</v>
      </c>
      <c r="AR51" s="27">
        <f t="shared" ca="1" si="41"/>
        <v>1</v>
      </c>
      <c r="AS51" s="27">
        <f t="shared" ca="1" si="48"/>
        <v>0</v>
      </c>
      <c r="AT51" s="28">
        <f t="shared" ca="1" si="42"/>
        <v>76.532910205249024</v>
      </c>
      <c r="AU51" s="27">
        <f t="shared" ca="1" si="9"/>
        <v>0</v>
      </c>
      <c r="AV51" s="51">
        <f t="shared" ca="1" si="24"/>
        <v>0</v>
      </c>
      <c r="AW51" s="51">
        <f t="shared" ca="1" si="43"/>
        <v>76.051689619513752</v>
      </c>
      <c r="AX51" s="27">
        <f t="shared" ca="1" si="25"/>
        <v>0</v>
      </c>
      <c r="AY51" s="54">
        <f t="shared" ca="1" si="44"/>
        <v>0.48122058573527648</v>
      </c>
      <c r="AZ51" s="91">
        <f t="shared" si="50"/>
        <v>79.215157336172524</v>
      </c>
      <c r="BA51" s="33">
        <f t="shared" ca="1" si="49"/>
        <v>0</v>
      </c>
      <c r="BB51" s="33">
        <f t="shared" ca="1" si="45"/>
        <v>2.6822471309234963</v>
      </c>
    </row>
    <row r="52" spans="1:54" x14ac:dyDescent="0.25">
      <c r="D52" s="154">
        <v>42197</v>
      </c>
      <c r="E52" s="58">
        <v>0</v>
      </c>
      <c r="G52" s="18"/>
      <c r="L52" s="83">
        <f t="shared" si="11"/>
        <v>0</v>
      </c>
      <c r="M52" s="68"/>
      <c r="N52" s="62">
        <v>42197</v>
      </c>
      <c r="O52" s="37">
        <f t="shared" si="12"/>
        <v>0</v>
      </c>
      <c r="P52" s="85">
        <f t="shared" si="13"/>
        <v>0</v>
      </c>
      <c r="Q52" s="85">
        <f t="shared" si="14"/>
        <v>0</v>
      </c>
      <c r="R52" s="84">
        <f t="shared" si="27"/>
        <v>53359.105303269658</v>
      </c>
      <c r="S52" s="86">
        <f t="shared" si="15"/>
        <v>1.2249565037481556</v>
      </c>
      <c r="T52" s="85">
        <f t="shared" si="16"/>
        <v>78.239157336172511</v>
      </c>
      <c r="U52" s="88">
        <f>LOOKUP(N52,'weather data'!$B$7:$B$158,'weather data'!$C$7:$C$158)</f>
        <v>0</v>
      </c>
      <c r="V52" s="88">
        <f t="shared" si="17"/>
        <v>0</v>
      </c>
      <c r="W52" s="88">
        <f t="shared" si="28"/>
        <v>0.97600000000000009</v>
      </c>
      <c r="X52" s="79">
        <f>LOOKUP(N52,'weather data'!$B$7:$B$158,'weather data'!$E$7:$E$158)</f>
        <v>0.3</v>
      </c>
      <c r="Y52" s="6">
        <v>1</v>
      </c>
      <c r="Z52" s="6">
        <v>42</v>
      </c>
      <c r="AA52" s="95">
        <f t="shared" si="46"/>
        <v>55.537190082644628</v>
      </c>
      <c r="AB52" s="94">
        <f ca="1">FORECAST(AA52,OFFSET(Soils!$K$41:$K$57,MATCH(AA52,Soils!$J$41:$J$57,1)-1,0,2),OFFSET(Soils!$J$41:$J$57,MATCH(AA52,Soils!$J$41:$J$57,1)-1,0,2))</f>
        <v>0.42876033057851243</v>
      </c>
      <c r="AC52" s="92">
        <f t="shared" ca="1" si="34"/>
        <v>1</v>
      </c>
      <c r="AD52" s="92">
        <f t="shared" ca="1" si="18"/>
        <v>0.42876033057851243</v>
      </c>
      <c r="AE52" s="87">
        <f t="shared" ca="1" si="19"/>
        <v>0.12862809917355372</v>
      </c>
      <c r="AF52" s="87">
        <f t="shared" ca="1" si="35"/>
        <v>0.12862809917355372</v>
      </c>
      <c r="AG52" s="87">
        <f t="shared" ca="1" si="36"/>
        <v>2.945116552411104</v>
      </c>
      <c r="AH52" s="56">
        <f ca="1">FORECAST(AA52,OFFSET(Soils!$L$41:$L$57,MATCH(AA52,Soils!$J$41:$J$57,1)-1,0,2),OFFSET(Soils!$J$41:$J$57,MATCH(AA52,Soils!$J$41:$J$57,1)-1,0,2))</f>
        <v>0.31361461505002175</v>
      </c>
      <c r="AI52" s="27">
        <f t="shared" ca="1" si="3"/>
        <v>0.79882557633753803</v>
      </c>
      <c r="AJ52" s="54"/>
      <c r="AK52" s="54">
        <f t="shared" ca="1" si="4"/>
        <v>0.86273162244454116</v>
      </c>
      <c r="AL52" s="54">
        <f t="shared" ca="1" si="21"/>
        <v>21.913383210091343</v>
      </c>
      <c r="AM52" s="27">
        <f t="shared" ca="1" si="37"/>
        <v>0.25881948673336236</v>
      </c>
      <c r="AN52" s="40">
        <f t="shared" ca="1" si="38"/>
        <v>0.60391213571117874</v>
      </c>
      <c r="AO52" s="27">
        <f t="shared" ca="1" si="39"/>
        <v>0.13424132231404959</v>
      </c>
      <c r="AP52" s="27">
        <f t="shared" ca="1" si="47"/>
        <v>0.26286942148760328</v>
      </c>
      <c r="AQ52" s="27">
        <f t="shared" ca="1" si="40"/>
        <v>0.59986220095693787</v>
      </c>
      <c r="AR52" s="27">
        <f t="shared" ca="1" si="41"/>
        <v>1</v>
      </c>
      <c r="AS52" s="27">
        <f t="shared" ca="1" si="48"/>
        <v>0</v>
      </c>
      <c r="AT52" s="28">
        <f t="shared" ca="1" si="42"/>
        <v>76.532910205249024</v>
      </c>
      <c r="AU52" s="27">
        <f t="shared" ca="1" si="9"/>
        <v>0</v>
      </c>
      <c r="AV52" s="51">
        <f t="shared" ca="1" si="24"/>
        <v>0</v>
      </c>
      <c r="AW52" s="51">
        <f t="shared" ca="1" si="43"/>
        <v>76.051689619513752</v>
      </c>
      <c r="AX52" s="27">
        <f t="shared" ca="1" si="25"/>
        <v>0</v>
      </c>
      <c r="AY52" s="54">
        <f t="shared" ca="1" si="44"/>
        <v>0.48122058573527648</v>
      </c>
      <c r="AZ52" s="91">
        <f t="shared" si="50"/>
        <v>79.215157336172524</v>
      </c>
      <c r="BA52" s="33">
        <f t="shared" ca="1" si="49"/>
        <v>0</v>
      </c>
      <c r="BB52" s="33">
        <f t="shared" ca="1" si="45"/>
        <v>2.6822471309234963</v>
      </c>
    </row>
    <row r="53" spans="1:54" x14ac:dyDescent="0.25">
      <c r="D53" s="154">
        <v>42198</v>
      </c>
      <c r="E53" s="58">
        <v>0</v>
      </c>
      <c r="G53" s="18"/>
      <c r="L53" s="83">
        <f t="shared" si="11"/>
        <v>0</v>
      </c>
      <c r="M53" s="68"/>
      <c r="N53" s="62">
        <v>42198</v>
      </c>
      <c r="O53" s="37">
        <f t="shared" si="12"/>
        <v>0</v>
      </c>
      <c r="P53" s="85">
        <f t="shared" si="13"/>
        <v>0</v>
      </c>
      <c r="Q53" s="85">
        <f t="shared" si="14"/>
        <v>0</v>
      </c>
      <c r="R53" s="84">
        <f t="shared" si="27"/>
        <v>53359.105303269658</v>
      </c>
      <c r="S53" s="86">
        <f t="shared" si="15"/>
        <v>1.2249565037481556</v>
      </c>
      <c r="T53" s="85">
        <f t="shared" si="16"/>
        <v>78.239157336172511</v>
      </c>
      <c r="U53" s="88">
        <f>LOOKUP(N53,'weather data'!$B$7:$B$158,'weather data'!$C$7:$C$158)</f>
        <v>0</v>
      </c>
      <c r="V53" s="88">
        <f t="shared" si="17"/>
        <v>0</v>
      </c>
      <c r="W53" s="88">
        <f t="shared" si="28"/>
        <v>0.97600000000000009</v>
      </c>
      <c r="X53" s="79">
        <f>LOOKUP(N53,'weather data'!$B$7:$B$158,'weather data'!$E$7:$E$158)</f>
        <v>0.24</v>
      </c>
      <c r="Y53" s="6">
        <v>1</v>
      </c>
      <c r="Z53" s="6">
        <v>43</v>
      </c>
      <c r="AA53" s="95">
        <f t="shared" si="46"/>
        <v>56.859504132231407</v>
      </c>
      <c r="AB53" s="94">
        <f ca="1">FORECAST(AA53,OFFSET(Soils!$K$41:$K$57,MATCH(AA53,Soils!$J$41:$J$57,1)-1,0,2),OFFSET(Soils!$J$41:$J$57,MATCH(AA53,Soils!$J$41:$J$57,1)-1,0,2))</f>
        <v>0.43801652892561987</v>
      </c>
      <c r="AC53" s="92">
        <f t="shared" ca="1" si="34"/>
        <v>1</v>
      </c>
      <c r="AD53" s="92">
        <f t="shared" ca="1" si="18"/>
        <v>0.43801652892561987</v>
      </c>
      <c r="AE53" s="87">
        <f t="shared" ca="1" si="19"/>
        <v>0.10512396694214876</v>
      </c>
      <c r="AF53" s="87">
        <f t="shared" ca="1" si="35"/>
        <v>0.10512396694214876</v>
      </c>
      <c r="AG53" s="87">
        <f t="shared" ca="1" si="36"/>
        <v>3.0502405193532529</v>
      </c>
      <c r="AH53" s="56">
        <f ca="1">FORECAST(AA53,OFFSET(Soils!$L$41:$L$57,MATCH(AA53,Soils!$J$41:$J$57,1)-1,0,2),OFFSET(Soils!$J$41:$J$57,MATCH(AA53,Soils!$J$41:$J$57,1)-1,0,2))</f>
        <v>0.32985355951863138</v>
      </c>
      <c r="AI53" s="27">
        <f t="shared" ca="1" si="3"/>
        <v>0.82724372915760491</v>
      </c>
      <c r="AJ53" s="54"/>
      <c r="AK53" s="54">
        <f t="shared" ca="1" si="4"/>
        <v>0.89342322749021341</v>
      </c>
      <c r="AL53" s="54">
        <f t="shared" ca="1" si="21"/>
        <v>22.69294997825142</v>
      </c>
      <c r="AM53" s="27">
        <f t="shared" ca="1" si="37"/>
        <v>0.26802696824706401</v>
      </c>
      <c r="AN53" s="40">
        <f t="shared" ca="1" si="38"/>
        <v>0.62539625924314945</v>
      </c>
      <c r="AO53" s="27">
        <f t="shared" ca="1" si="39"/>
        <v>0.26286942148760328</v>
      </c>
      <c r="AP53" s="27">
        <f t="shared" ca="1" si="47"/>
        <v>0.36799338842975204</v>
      </c>
      <c r="AQ53" s="27">
        <f t="shared" ca="1" si="40"/>
        <v>0.52542983906046137</v>
      </c>
      <c r="AR53" s="27">
        <f t="shared" ca="1" si="41"/>
        <v>1</v>
      </c>
      <c r="AS53" s="27">
        <f t="shared" ca="1" si="48"/>
        <v>0</v>
      </c>
      <c r="AT53" s="28">
        <f t="shared" ca="1" si="42"/>
        <v>76.532910205249024</v>
      </c>
      <c r="AU53" s="27">
        <f t="shared" ca="1" si="9"/>
        <v>0</v>
      </c>
      <c r="AV53" s="51">
        <f t="shared" ca="1" si="24"/>
        <v>0</v>
      </c>
      <c r="AW53" s="51">
        <f t="shared" ca="1" si="43"/>
        <v>76.051689619513752</v>
      </c>
      <c r="AX53" s="27">
        <f t="shared" ca="1" si="25"/>
        <v>0</v>
      </c>
      <c r="AY53" s="54">
        <f t="shared" ca="1" si="44"/>
        <v>0.48122058573527648</v>
      </c>
      <c r="AZ53" s="91">
        <f t="shared" si="50"/>
        <v>79.215157336172524</v>
      </c>
      <c r="BA53" s="33">
        <f t="shared" ca="1" si="49"/>
        <v>0</v>
      </c>
      <c r="BB53" s="33">
        <f t="shared" ca="1" si="45"/>
        <v>2.6822471309234963</v>
      </c>
    </row>
    <row r="54" spans="1:54" x14ac:dyDescent="0.25">
      <c r="D54" s="154">
        <v>42199</v>
      </c>
      <c r="E54" s="58">
        <v>0</v>
      </c>
      <c r="G54" s="18"/>
      <c r="L54" s="83">
        <f t="shared" si="11"/>
        <v>0</v>
      </c>
      <c r="M54" s="68"/>
      <c r="N54" s="62">
        <v>42199</v>
      </c>
      <c r="O54" s="37">
        <f t="shared" si="12"/>
        <v>0</v>
      </c>
      <c r="P54" s="85">
        <f t="shared" si="13"/>
        <v>0</v>
      </c>
      <c r="Q54" s="85">
        <f t="shared" si="14"/>
        <v>0</v>
      </c>
      <c r="R54" s="84">
        <f t="shared" si="27"/>
        <v>53359.105303269658</v>
      </c>
      <c r="S54" s="86">
        <f t="shared" si="15"/>
        <v>1.2249565037481556</v>
      </c>
      <c r="T54" s="85">
        <f t="shared" si="16"/>
        <v>78.239157336172511</v>
      </c>
      <c r="U54" s="88">
        <f>LOOKUP(N54,'weather data'!$B$7:$B$158,'weather data'!$C$7:$C$158)</f>
        <v>0</v>
      </c>
      <c r="V54" s="88">
        <f t="shared" si="17"/>
        <v>0</v>
      </c>
      <c r="W54" s="88">
        <f t="shared" si="28"/>
        <v>0.97600000000000009</v>
      </c>
      <c r="X54" s="79">
        <f>LOOKUP(N54,'weather data'!$B$7:$B$158,'weather data'!$E$7:$E$158)</f>
        <v>0.26</v>
      </c>
      <c r="Y54" s="6">
        <v>1</v>
      </c>
      <c r="Z54" s="6">
        <v>44</v>
      </c>
      <c r="AA54" s="95">
        <f t="shared" si="46"/>
        <v>58.18181818181818</v>
      </c>
      <c r="AB54" s="94">
        <f ca="1">FORECAST(AA54,OFFSET(Soils!$K$41:$K$57,MATCH(AA54,Soils!$J$41:$J$57,1)-1,0,2),OFFSET(Soils!$J$41:$J$57,MATCH(AA54,Soils!$J$41:$J$57,1)-1,0,2))</f>
        <v>0.44727272727272732</v>
      </c>
      <c r="AC54" s="92">
        <f t="shared" ca="1" si="34"/>
        <v>0.85969749418025299</v>
      </c>
      <c r="AD54" s="92">
        <f t="shared" ca="1" si="18"/>
        <v>0.38451924285153138</v>
      </c>
      <c r="AE54" s="87">
        <f t="shared" ca="1" si="19"/>
        <v>0.11629090909090911</v>
      </c>
      <c r="AF54" s="87">
        <f t="shared" ca="1" si="35"/>
        <v>9.9975003141398164E-2</v>
      </c>
      <c r="AG54" s="87">
        <f t="shared" ca="1" si="36"/>
        <v>3.1502155224946509</v>
      </c>
      <c r="AH54" s="56">
        <f ca="1">FORECAST(AA54,OFFSET(Soils!$L$41:$L$57,MATCH(AA54,Soils!$J$41:$J$57,1)-1,0,2),OFFSET(Soils!$J$41:$J$57,MATCH(AA54,Soils!$J$41:$J$57,1)-1,0,2))</f>
        <v>0.3460925039872409</v>
      </c>
      <c r="AI54" s="27">
        <f t="shared" ca="1" si="3"/>
        <v>0.85566188197767157</v>
      </c>
      <c r="AJ54" s="54"/>
      <c r="AK54" s="54">
        <f t="shared" ca="1" si="4"/>
        <v>0.92411483253588533</v>
      </c>
      <c r="AL54" s="54">
        <f t="shared" ca="1" si="21"/>
        <v>23.472516746411486</v>
      </c>
      <c r="AM54" s="27">
        <f t="shared" ca="1" si="37"/>
        <v>0.27723444976076561</v>
      </c>
      <c r="AN54" s="40">
        <f t="shared" ca="1" si="38"/>
        <v>0.64688038277511972</v>
      </c>
      <c r="AO54" s="27">
        <f t="shared" ca="1" si="39"/>
        <v>0.36799338842975204</v>
      </c>
      <c r="AP54" s="27">
        <f t="shared" ca="1" si="47"/>
        <v>0.46796839157115022</v>
      </c>
      <c r="AQ54" s="27">
        <f t="shared" ca="1" si="40"/>
        <v>0.45614644096473511</v>
      </c>
      <c r="AR54" s="27">
        <f t="shared" ca="1" si="41"/>
        <v>0.85969749418025299</v>
      </c>
      <c r="AS54" s="27">
        <f t="shared" ca="1" si="48"/>
        <v>0</v>
      </c>
      <c r="AT54" s="28">
        <f t="shared" ca="1" si="42"/>
        <v>76.532910205249024</v>
      </c>
      <c r="AU54" s="27">
        <f t="shared" ca="1" si="9"/>
        <v>0</v>
      </c>
      <c r="AV54" s="51">
        <f t="shared" ca="1" si="24"/>
        <v>0</v>
      </c>
      <c r="AW54" s="51">
        <f t="shared" ca="1" si="43"/>
        <v>76.051689619513752</v>
      </c>
      <c r="AX54" s="27">
        <f t="shared" ca="1" si="25"/>
        <v>0</v>
      </c>
      <c r="AY54" s="54">
        <f t="shared" ca="1" si="44"/>
        <v>0.48122058573527648</v>
      </c>
      <c r="AZ54" s="91">
        <f t="shared" si="50"/>
        <v>79.215157336172524</v>
      </c>
      <c r="BA54" s="33">
        <f t="shared" ca="1" si="49"/>
        <v>0</v>
      </c>
      <c r="BB54" s="33">
        <f t="shared" ca="1" si="45"/>
        <v>2.6822471309234963</v>
      </c>
    </row>
    <row r="55" spans="1:54" x14ac:dyDescent="0.25">
      <c r="D55" s="154">
        <v>42200</v>
      </c>
      <c r="E55" s="58">
        <f>B25</f>
        <v>2812.6839775335679</v>
      </c>
      <c r="G55" s="18"/>
      <c r="L55" s="83">
        <f t="shared" si="11"/>
        <v>2812.6839775335679</v>
      </c>
      <c r="M55" s="68"/>
      <c r="N55" s="62">
        <v>42200</v>
      </c>
      <c r="O55" s="37">
        <f t="shared" si="12"/>
        <v>2812.6839775335679</v>
      </c>
      <c r="P55" s="85">
        <f t="shared" si="13"/>
        <v>4.1241700550345568</v>
      </c>
      <c r="Q55" s="85">
        <f t="shared" si="14"/>
        <v>104.75391939787774</v>
      </c>
      <c r="R55" s="84">
        <f t="shared" si="27"/>
        <v>56171.789280803227</v>
      </c>
      <c r="S55" s="86">
        <f t="shared" si="15"/>
        <v>1.2895268429936462</v>
      </c>
      <c r="T55" s="85">
        <f t="shared" si="16"/>
        <v>82.363327391207093</v>
      </c>
      <c r="U55" s="88">
        <f>LOOKUP(N55,'weather data'!$B$7:$B$158,'weather data'!$C$7:$C$158)</f>
        <v>0</v>
      </c>
      <c r="V55" s="88">
        <f t="shared" si="17"/>
        <v>0</v>
      </c>
      <c r="W55" s="88">
        <f t="shared" si="28"/>
        <v>0.97600000000000009</v>
      </c>
      <c r="X55" s="79">
        <f>LOOKUP(N55,'weather data'!$B$7:$B$158,'weather data'!$E$7:$E$158)</f>
        <v>0.22</v>
      </c>
      <c r="Y55" s="6">
        <v>1</v>
      </c>
      <c r="Z55" s="6">
        <v>45</v>
      </c>
      <c r="AA55" s="95">
        <f t="shared" si="46"/>
        <v>59.504132231404959</v>
      </c>
      <c r="AB55" s="94">
        <f ca="1">FORECAST(AA55,OFFSET(Soils!$K$41:$K$57,MATCH(AA55,Soils!$J$41:$J$57,1)-1,0,2),OFFSET(Soils!$J$41:$J$57,MATCH(AA55,Soils!$J$41:$J$57,1)-1,0,2))</f>
        <v>0.45652892561983477</v>
      </c>
      <c r="AC55" s="92">
        <f t="shared" ca="1" si="34"/>
        <v>0.72840200431996316</v>
      </c>
      <c r="AD55" s="92">
        <f t="shared" ca="1" si="18"/>
        <v>0.33253658445152701</v>
      </c>
      <c r="AE55" s="87">
        <f t="shared" ca="1" si="19"/>
        <v>0.10043636363636364</v>
      </c>
      <c r="AF55" s="87">
        <f t="shared" ca="1" si="35"/>
        <v>7.3158048579335944E-2</v>
      </c>
      <c r="AG55" s="87">
        <f t="shared" ca="1" si="36"/>
        <v>3.2233735710739868</v>
      </c>
      <c r="AH55" s="56">
        <f ca="1">FORECAST(AA55,OFFSET(Soils!$L$41:$L$57,MATCH(AA55,Soils!$J$41:$J$57,1)-1,0,2),OFFSET(Soils!$J$41:$J$57,MATCH(AA55,Soils!$J$41:$J$57,1)-1,0,2))</f>
        <v>0.36233144845585041</v>
      </c>
      <c r="AI55" s="27">
        <f t="shared" ca="1" si="3"/>
        <v>0.88408003479773822</v>
      </c>
      <c r="AJ55" s="54"/>
      <c r="AK55" s="54">
        <f t="shared" ca="1" si="4"/>
        <v>0.95480643758155737</v>
      </c>
      <c r="AL55" s="54">
        <f t="shared" ca="1" si="21"/>
        <v>24.252083514571556</v>
      </c>
      <c r="AM55" s="27">
        <f t="shared" ca="1" si="37"/>
        <v>0.28644193127446721</v>
      </c>
      <c r="AN55" s="40">
        <f t="shared" ca="1" si="38"/>
        <v>0.66836450630709021</v>
      </c>
      <c r="AO55" s="27">
        <f t="shared" ca="1" si="39"/>
        <v>0.46796839157115022</v>
      </c>
      <c r="AP55" s="27">
        <f t="shared" ca="1" si="47"/>
        <v>0</v>
      </c>
      <c r="AQ55" s="27">
        <f t="shared" ca="1" si="40"/>
        <v>0.95480643758155737</v>
      </c>
      <c r="AR55" s="27">
        <f t="shared" ca="1" si="41"/>
        <v>0.72840200431996316</v>
      </c>
      <c r="AS55" s="27">
        <f t="shared" ca="1" si="48"/>
        <v>3.5830436148840703</v>
      </c>
      <c r="AT55" s="28">
        <f t="shared" ca="1" si="42"/>
        <v>80.1159538201331</v>
      </c>
      <c r="AU55" s="27">
        <f t="shared" ca="1" si="9"/>
        <v>3.5830436148840703</v>
      </c>
      <c r="AV55" s="51">
        <f t="shared" ca="1" si="24"/>
        <v>91.009307818055376</v>
      </c>
      <c r="AW55" s="51">
        <f t="shared" ca="1" si="43"/>
        <v>79.634733234397828</v>
      </c>
      <c r="AX55" s="27">
        <f t="shared" ca="1" si="25"/>
        <v>0</v>
      </c>
      <c r="AY55" s="54">
        <f t="shared" ca="1" si="44"/>
        <v>0.48122058573527648</v>
      </c>
      <c r="AZ55" s="91">
        <f t="shared" si="50"/>
        <v>83.339327391207078</v>
      </c>
      <c r="BA55" s="33">
        <f t="shared" ca="1" si="49"/>
        <v>0.5411264401504865</v>
      </c>
      <c r="BB55" s="33">
        <f t="shared" ca="1" si="45"/>
        <v>3.2233735710739828</v>
      </c>
    </row>
    <row r="56" spans="1:54" x14ac:dyDescent="0.25">
      <c r="D56" s="154">
        <v>42201</v>
      </c>
      <c r="E56" s="58">
        <v>0</v>
      </c>
      <c r="G56" s="18"/>
      <c r="L56" s="83">
        <f t="shared" si="11"/>
        <v>0</v>
      </c>
      <c r="M56" s="68"/>
      <c r="N56" s="62">
        <v>42201</v>
      </c>
      <c r="O56" s="37">
        <f t="shared" si="12"/>
        <v>0</v>
      </c>
      <c r="P56" s="85">
        <f t="shared" si="13"/>
        <v>0</v>
      </c>
      <c r="Q56" s="85">
        <f t="shared" si="14"/>
        <v>0</v>
      </c>
      <c r="R56" s="84">
        <f t="shared" si="27"/>
        <v>56171.789280803227</v>
      </c>
      <c r="S56" s="86">
        <f t="shared" si="15"/>
        <v>1.2895268429936462</v>
      </c>
      <c r="T56" s="85">
        <f t="shared" si="16"/>
        <v>82.363327391207093</v>
      </c>
      <c r="U56" s="88">
        <f>LOOKUP(N56,'weather data'!$B$7:$B$158,'weather data'!$C$7:$C$158)</f>
        <v>0</v>
      </c>
      <c r="V56" s="88">
        <f t="shared" si="17"/>
        <v>0</v>
      </c>
      <c r="W56" s="88">
        <f t="shared" si="28"/>
        <v>0.97600000000000009</v>
      </c>
      <c r="X56" s="79">
        <f>LOOKUP(N56,'weather data'!$B$7:$B$158,'weather data'!$E$7:$E$158)</f>
        <v>0.24</v>
      </c>
      <c r="Y56" s="6">
        <v>1</v>
      </c>
      <c r="Z56" s="6">
        <v>46</v>
      </c>
      <c r="AA56" s="95">
        <f t="shared" si="46"/>
        <v>60.826446280991739</v>
      </c>
      <c r="AB56" s="94">
        <f ca="1">FORECAST(AA56,OFFSET(Soils!$K$41:$K$57,MATCH(AA56,Soils!$J$41:$J$57,1)-1,0,2),OFFSET(Soils!$J$41:$J$57,MATCH(AA56,Soils!$J$41:$J$57,1)-1,0,2))</f>
        <v>0.46661157024793387</v>
      </c>
      <c r="AC56" s="92">
        <f t="shared" ca="1" si="34"/>
        <v>1</v>
      </c>
      <c r="AD56" s="92">
        <f t="shared" ca="1" si="18"/>
        <v>0.46661157024793387</v>
      </c>
      <c r="AE56" s="87">
        <f t="shared" ca="1" si="19"/>
        <v>0.11198677685950413</v>
      </c>
      <c r="AF56" s="87">
        <f t="shared" ca="1" si="35"/>
        <v>0.11198677685950413</v>
      </c>
      <c r="AG56" s="87">
        <f t="shared" ca="1" si="36"/>
        <v>3.335360347933491</v>
      </c>
      <c r="AH56" s="56">
        <f ca="1">FORECAST(AA56,OFFSET(Soils!$L$41:$L$57,MATCH(AA56,Soils!$J$41:$J$57,1)-1,0,2),OFFSET(Soils!$J$41:$J$57,MATCH(AA56,Soils!$J$41:$J$57,1)-1,0,2))</f>
        <v>0.38002029868058584</v>
      </c>
      <c r="AI56" s="27">
        <f t="shared" ca="1" si="3"/>
        <v>0.91503552269102517</v>
      </c>
      <c r="AJ56" s="54"/>
      <c r="AK56" s="54">
        <f t="shared" ca="1" si="4"/>
        <v>0.9882383645063072</v>
      </c>
      <c r="AL56" s="54">
        <f t="shared" ca="1" si="21"/>
        <v>25.1012544584602</v>
      </c>
      <c r="AM56" s="27">
        <f t="shared" ca="1" si="37"/>
        <v>0.29647150935189215</v>
      </c>
      <c r="AN56" s="40">
        <f t="shared" ca="1" si="38"/>
        <v>0.69176685515441505</v>
      </c>
      <c r="AO56" s="27">
        <f t="shared" ca="1" si="39"/>
        <v>0</v>
      </c>
      <c r="AP56" s="27">
        <f t="shared" ca="1" si="47"/>
        <v>0.11198677685950413</v>
      </c>
      <c r="AQ56" s="27">
        <f t="shared" ca="1" si="40"/>
        <v>0.87625158764680311</v>
      </c>
      <c r="AR56" s="27">
        <f t="shared" ca="1" si="41"/>
        <v>1</v>
      </c>
      <c r="AS56" s="27">
        <f t="shared" ca="1" si="48"/>
        <v>0</v>
      </c>
      <c r="AT56" s="28">
        <f t="shared" ca="1" si="42"/>
        <v>80.1159538201331</v>
      </c>
      <c r="AU56" s="27">
        <f t="shared" ca="1" si="9"/>
        <v>0</v>
      </c>
      <c r="AV56" s="51">
        <f t="shared" ca="1" si="24"/>
        <v>0</v>
      </c>
      <c r="AW56" s="51">
        <f t="shared" ca="1" si="43"/>
        <v>79.634733234397828</v>
      </c>
      <c r="AX56" s="27">
        <f t="shared" ca="1" si="25"/>
        <v>0</v>
      </c>
      <c r="AY56" s="54">
        <f t="shared" ca="1" si="44"/>
        <v>0.48122058573527648</v>
      </c>
      <c r="AZ56" s="91">
        <f t="shared" si="50"/>
        <v>83.339327391207078</v>
      </c>
      <c r="BA56" s="33">
        <f t="shared" ca="1" si="49"/>
        <v>0</v>
      </c>
      <c r="BB56" s="33">
        <f t="shared" ca="1" si="45"/>
        <v>3.2233735710739828</v>
      </c>
    </row>
    <row r="57" spans="1:54" x14ac:dyDescent="0.25">
      <c r="D57" s="154">
        <v>42202</v>
      </c>
      <c r="E57" s="58">
        <f>B26</f>
        <v>2941.5329999321875</v>
      </c>
      <c r="G57" s="18"/>
      <c r="L57" s="83">
        <f t="shared" si="11"/>
        <v>2941.5329999321875</v>
      </c>
      <c r="M57" s="68"/>
      <c r="N57" s="62">
        <v>42202</v>
      </c>
      <c r="O57" s="37">
        <f t="shared" si="12"/>
        <v>2941.5329999321875</v>
      </c>
      <c r="P57" s="85">
        <f t="shared" si="13"/>
        <v>4.3130982403697766</v>
      </c>
      <c r="Q57" s="85">
        <f t="shared" si="14"/>
        <v>109.55269530539232</v>
      </c>
      <c r="R57" s="84">
        <f t="shared" si="27"/>
        <v>59113.322280735418</v>
      </c>
      <c r="S57" s="86">
        <f t="shared" si="15"/>
        <v>1.3570551487772133</v>
      </c>
      <c r="T57" s="85">
        <f t="shared" si="16"/>
        <v>86.676425631576848</v>
      </c>
      <c r="U57" s="88">
        <f>LOOKUP(N57,'weather data'!$B$7:$B$158,'weather data'!$C$7:$C$158)</f>
        <v>0.01</v>
      </c>
      <c r="V57" s="88">
        <f t="shared" si="17"/>
        <v>0</v>
      </c>
      <c r="W57" s="88">
        <f t="shared" si="28"/>
        <v>0.97600000000000009</v>
      </c>
      <c r="X57" s="79">
        <f>LOOKUP(N57,'weather data'!$B$7:$B$158,'weather data'!$E$7:$E$158)</f>
        <v>0.16</v>
      </c>
      <c r="Y57" s="6">
        <v>1</v>
      </c>
      <c r="Z57" s="6">
        <v>47</v>
      </c>
      <c r="AA57" s="95">
        <f t="shared" si="46"/>
        <v>62.148760330578511</v>
      </c>
      <c r="AB57" s="94">
        <f ca="1">FORECAST(AA57,OFFSET(Soils!$K$41:$K$57,MATCH(AA57,Soils!$J$41:$J$57,1)-1,0,2),OFFSET(Soils!$J$41:$J$57,MATCH(AA57,Soils!$J$41:$J$57,1)-1,0,2))</f>
        <v>0.47719008264462809</v>
      </c>
      <c r="AC57" s="92">
        <f t="shared" ca="1" si="34"/>
        <v>1</v>
      </c>
      <c r="AD57" s="92">
        <f t="shared" ca="1" si="18"/>
        <v>0.47719008264462809</v>
      </c>
      <c r="AE57" s="87">
        <f t="shared" ca="1" si="19"/>
        <v>7.6350413223140498E-2</v>
      </c>
      <c r="AF57" s="87">
        <f t="shared" ca="1" si="35"/>
        <v>7.6350413223140498E-2</v>
      </c>
      <c r="AG57" s="87">
        <f t="shared" ca="1" si="36"/>
        <v>3.4117107611566313</v>
      </c>
      <c r="AH57" s="56">
        <f ca="1">FORECAST(AA57,OFFSET(Soils!$L$41:$L$57,MATCH(AA57,Soils!$J$41:$J$57,1)-1,0,2),OFFSET(Soils!$J$41:$J$57,MATCH(AA57,Soils!$J$41:$J$57,1)-1,0,2))</f>
        <v>0.39857909235899669</v>
      </c>
      <c r="AI57" s="27">
        <f t="shared" ca="1" si="3"/>
        <v>0.94751341162824421</v>
      </c>
      <c r="AJ57" s="54"/>
      <c r="AK57" s="54">
        <f t="shared" ca="1" si="4"/>
        <v>1.0233144845585038</v>
      </c>
      <c r="AL57" s="54">
        <f t="shared" ca="1" si="21"/>
        <v>25.992187907785997</v>
      </c>
      <c r="AM57" s="27">
        <f t="shared" ca="1" si="37"/>
        <v>0.30699434536755116</v>
      </c>
      <c r="AN57" s="40">
        <f t="shared" ca="1" si="38"/>
        <v>0.71632013919095261</v>
      </c>
      <c r="AO57" s="27">
        <f t="shared" ca="1" si="39"/>
        <v>0.11198677685950413</v>
      </c>
      <c r="AP57" s="27">
        <f t="shared" ca="1" si="47"/>
        <v>0</v>
      </c>
      <c r="AQ57" s="27">
        <f t="shared" ca="1" si="40"/>
        <v>1.0233144845585038</v>
      </c>
      <c r="AR57" s="27">
        <f t="shared" ca="1" si="41"/>
        <v>1</v>
      </c>
      <c r="AS57" s="27">
        <f t="shared" ca="1" si="48"/>
        <v>4.1247610502871321</v>
      </c>
      <c r="AT57" s="28">
        <f t="shared" ca="1" si="42"/>
        <v>84.240714870420234</v>
      </c>
      <c r="AU57" s="27">
        <f t="shared" ca="1" si="9"/>
        <v>4.1247610502871321</v>
      </c>
      <c r="AV57" s="51">
        <f t="shared" ca="1" si="24"/>
        <v>104.76893067729316</v>
      </c>
      <c r="AW57" s="51">
        <f t="shared" ca="1" si="43"/>
        <v>83.759494284684962</v>
      </c>
      <c r="AX57" s="27">
        <f t="shared" ca="1" si="25"/>
        <v>0</v>
      </c>
      <c r="AY57" s="54">
        <f t="shared" ca="1" si="44"/>
        <v>0.48122058573527648</v>
      </c>
      <c r="AZ57" s="91">
        <f t="shared" si="50"/>
        <v>87.652425631576861</v>
      </c>
      <c r="BA57" s="33">
        <f t="shared" ca="1" si="49"/>
        <v>0.18833719008264449</v>
      </c>
      <c r="BB57" s="33">
        <f t="shared" ca="1" si="45"/>
        <v>3.4117107611566273</v>
      </c>
    </row>
    <row r="58" spans="1:54" x14ac:dyDescent="0.25">
      <c r="D58" s="154">
        <v>42203</v>
      </c>
      <c r="E58" s="58">
        <v>0</v>
      </c>
      <c r="G58" s="18"/>
      <c r="L58" s="83">
        <f t="shared" si="11"/>
        <v>0</v>
      </c>
      <c r="M58" s="68"/>
      <c r="N58" s="62">
        <v>42203</v>
      </c>
      <c r="O58" s="37">
        <f t="shared" si="12"/>
        <v>0</v>
      </c>
      <c r="P58" s="85">
        <f t="shared" si="13"/>
        <v>0</v>
      </c>
      <c r="Q58" s="85">
        <f t="shared" si="14"/>
        <v>0</v>
      </c>
      <c r="R58" s="84">
        <f t="shared" si="27"/>
        <v>59113.322280735418</v>
      </c>
      <c r="S58" s="86">
        <f t="shared" si="15"/>
        <v>1.3570551487772133</v>
      </c>
      <c r="T58" s="85">
        <f t="shared" si="16"/>
        <v>86.676425631576848</v>
      </c>
      <c r="U58" s="88">
        <f>LOOKUP(N58,'weather data'!$B$7:$B$158,'weather data'!$C$7:$C$158)</f>
        <v>0.04</v>
      </c>
      <c r="V58" s="88">
        <f t="shared" si="17"/>
        <v>0</v>
      </c>
      <c r="W58" s="88">
        <f t="shared" si="28"/>
        <v>0.97600000000000009</v>
      </c>
      <c r="X58" s="79">
        <f>LOOKUP(N58,'weather data'!$B$7:$B$158,'weather data'!$E$7:$E$158)</f>
        <v>0.17</v>
      </c>
      <c r="Y58" s="6">
        <v>1</v>
      </c>
      <c r="Z58" s="6">
        <v>48</v>
      </c>
      <c r="AA58" s="95">
        <f t="shared" si="46"/>
        <v>63.471074380165291</v>
      </c>
      <c r="AB58" s="94">
        <f ca="1">FORECAST(AA58,OFFSET(Soils!$K$41:$K$57,MATCH(AA58,Soils!$J$41:$J$57,1)-1,0,2),OFFSET(Soils!$J$41:$J$57,MATCH(AA58,Soils!$J$41:$J$57,1)-1,0,2))</f>
        <v>0.48776859504132231</v>
      </c>
      <c r="AC58" s="92">
        <f t="shared" ca="1" si="34"/>
        <v>1</v>
      </c>
      <c r="AD58" s="92">
        <f t="shared" ca="1" si="18"/>
        <v>0.48776859504132231</v>
      </c>
      <c r="AE58" s="87">
        <f t="shared" ca="1" si="19"/>
        <v>8.2920661157024803E-2</v>
      </c>
      <c r="AF58" s="87">
        <f t="shared" ca="1" si="35"/>
        <v>8.2920661157024803E-2</v>
      </c>
      <c r="AG58" s="87">
        <f t="shared" ca="1" si="36"/>
        <v>3.4946314223136561</v>
      </c>
      <c r="AH58" s="56">
        <f ca="1">FORECAST(AA58,OFFSET(Soils!$L$41:$L$57,MATCH(AA58,Soils!$J$41:$J$57,1)-1,0,2),OFFSET(Soils!$J$41:$J$57,MATCH(AA58,Soils!$J$41:$J$57,1)-1,0,2))</f>
        <v>0.41713788603740765</v>
      </c>
      <c r="AI58" s="27">
        <f t="shared" ca="1" si="3"/>
        <v>0.97999130056546335</v>
      </c>
      <c r="AJ58" s="54"/>
      <c r="AK58" s="54">
        <f t="shared" ca="1" si="4"/>
        <v>1.0583906046107006</v>
      </c>
      <c r="AL58" s="54">
        <f t="shared" ca="1" si="21"/>
        <v>26.883121357111794</v>
      </c>
      <c r="AM58" s="27">
        <f t="shared" ca="1" si="37"/>
        <v>0.31751718138321017</v>
      </c>
      <c r="AN58" s="40">
        <f t="shared" ca="1" si="38"/>
        <v>0.74087342322749039</v>
      </c>
      <c r="AO58" s="27">
        <f t="shared" ca="1" si="39"/>
        <v>0</v>
      </c>
      <c r="AP58" s="27">
        <f t="shared" ca="1" si="47"/>
        <v>8.2920661157024803E-2</v>
      </c>
      <c r="AQ58" s="27">
        <f t="shared" ca="1" si="40"/>
        <v>0.97546994345367577</v>
      </c>
      <c r="AR58" s="27">
        <f t="shared" ca="1" si="41"/>
        <v>1</v>
      </c>
      <c r="AS58" s="27">
        <f t="shared" ca="1" si="48"/>
        <v>0</v>
      </c>
      <c r="AT58" s="28">
        <f t="shared" ca="1" si="42"/>
        <v>84.240714870420234</v>
      </c>
      <c r="AU58" s="27">
        <f t="shared" ca="1" si="9"/>
        <v>0</v>
      </c>
      <c r="AV58" s="51">
        <f t="shared" ca="1" si="24"/>
        <v>0</v>
      </c>
      <c r="AW58" s="51">
        <f t="shared" ca="1" si="43"/>
        <v>83.759494284684962</v>
      </c>
      <c r="AX58" s="27">
        <f t="shared" ca="1" si="25"/>
        <v>0</v>
      </c>
      <c r="AY58" s="54">
        <f t="shared" ca="1" si="44"/>
        <v>0.48122058573527648</v>
      </c>
      <c r="AZ58" s="91">
        <f t="shared" si="50"/>
        <v>87.652425631576861</v>
      </c>
      <c r="BA58" s="33">
        <f t="shared" ca="1" si="49"/>
        <v>0</v>
      </c>
      <c r="BB58" s="33">
        <f t="shared" ca="1" si="45"/>
        <v>3.4117107611566273</v>
      </c>
    </row>
    <row r="59" spans="1:54" x14ac:dyDescent="0.25">
      <c r="D59" s="154">
        <v>42204</v>
      </c>
      <c r="E59" s="58">
        <v>0</v>
      </c>
      <c r="G59" s="18"/>
      <c r="L59" s="83">
        <f t="shared" si="11"/>
        <v>0</v>
      </c>
      <c r="M59" s="68"/>
      <c r="N59" s="62">
        <v>42204</v>
      </c>
      <c r="O59" s="37">
        <f t="shared" si="12"/>
        <v>0</v>
      </c>
      <c r="P59" s="85">
        <f t="shared" si="13"/>
        <v>0</v>
      </c>
      <c r="Q59" s="85">
        <f t="shared" si="14"/>
        <v>0</v>
      </c>
      <c r="R59" s="84">
        <f t="shared" si="27"/>
        <v>59113.322280735418</v>
      </c>
      <c r="S59" s="86">
        <f t="shared" si="15"/>
        <v>1.3570551487772133</v>
      </c>
      <c r="T59" s="85">
        <f t="shared" si="16"/>
        <v>86.676425631576848</v>
      </c>
      <c r="U59" s="88">
        <f>LOOKUP(N59,'weather data'!$B$7:$B$158,'weather data'!$C$7:$C$158)</f>
        <v>0</v>
      </c>
      <c r="V59" s="88">
        <f t="shared" si="17"/>
        <v>0</v>
      </c>
      <c r="W59" s="88">
        <f t="shared" si="28"/>
        <v>0.97600000000000009</v>
      </c>
      <c r="X59" s="79">
        <f>LOOKUP(N59,'weather data'!$B$7:$B$158,'weather data'!$E$7:$E$158)</f>
        <v>0.24</v>
      </c>
      <c r="Y59" s="6">
        <v>1</v>
      </c>
      <c r="Z59" s="6">
        <v>49</v>
      </c>
      <c r="AA59" s="95">
        <f t="shared" si="46"/>
        <v>64.793388429752071</v>
      </c>
      <c r="AB59" s="94">
        <f ca="1">FORECAST(AA59,OFFSET(Soils!$K$41:$K$57,MATCH(AA59,Soils!$J$41:$J$57,1)-1,0,2),OFFSET(Soils!$J$41:$J$57,MATCH(AA59,Soils!$J$41:$J$57,1)-1,0,2))</f>
        <v>0.49834710743801658</v>
      </c>
      <c r="AC59" s="92">
        <f t="shared" ca="1" si="34"/>
        <v>1</v>
      </c>
      <c r="AD59" s="92">
        <f t="shared" ca="1" si="18"/>
        <v>0.49834710743801658</v>
      </c>
      <c r="AE59" s="87">
        <f t="shared" ca="1" si="19"/>
        <v>0.11960330578512397</v>
      </c>
      <c r="AF59" s="87">
        <f t="shared" ca="1" si="35"/>
        <v>0.11960330578512397</v>
      </c>
      <c r="AG59" s="87">
        <f t="shared" ca="1" si="36"/>
        <v>3.6142347280987801</v>
      </c>
      <c r="AH59" s="56">
        <f ca="1">FORECAST(AA59,OFFSET(Soils!$L$41:$L$57,MATCH(AA59,Soils!$J$41:$J$57,1)-1,0,2),OFFSET(Soils!$J$41:$J$57,MATCH(AA59,Soils!$J$41:$J$57,1)-1,0,2))</f>
        <v>0.4356966797158186</v>
      </c>
      <c r="AI59" s="27">
        <f t="shared" ca="1" si="3"/>
        <v>1.0124691895026825</v>
      </c>
      <c r="AJ59" s="54"/>
      <c r="AK59" s="54">
        <f t="shared" ca="1" si="4"/>
        <v>1.0934667246628971</v>
      </c>
      <c r="AL59" s="54">
        <f t="shared" ca="1" si="21"/>
        <v>27.774054806437583</v>
      </c>
      <c r="AM59" s="27">
        <f t="shared" ca="1" si="37"/>
        <v>0.32804001739886912</v>
      </c>
      <c r="AN59" s="40">
        <f t="shared" ca="1" si="38"/>
        <v>0.76542670726402795</v>
      </c>
      <c r="AO59" s="27">
        <f t="shared" ca="1" si="39"/>
        <v>8.2920661157024803E-2</v>
      </c>
      <c r="AP59" s="27">
        <f t="shared" ca="1" si="47"/>
        <v>0.20252396694214878</v>
      </c>
      <c r="AQ59" s="27">
        <f t="shared" ca="1" si="40"/>
        <v>0.89094275772074827</v>
      </c>
      <c r="AR59" s="27">
        <f t="shared" ca="1" si="41"/>
        <v>1</v>
      </c>
      <c r="AS59" s="27">
        <f t="shared" ca="1" si="48"/>
        <v>0</v>
      </c>
      <c r="AT59" s="28">
        <f t="shared" ca="1" si="42"/>
        <v>84.240714870420234</v>
      </c>
      <c r="AU59" s="27">
        <f t="shared" ca="1" si="9"/>
        <v>0</v>
      </c>
      <c r="AV59" s="51">
        <f t="shared" ca="1" si="24"/>
        <v>0</v>
      </c>
      <c r="AW59" s="51">
        <f t="shared" ca="1" si="43"/>
        <v>83.759494284684962</v>
      </c>
      <c r="AX59" s="27">
        <f t="shared" ca="1" si="25"/>
        <v>0</v>
      </c>
      <c r="AY59" s="54">
        <f t="shared" ca="1" si="44"/>
        <v>0.48122058573527648</v>
      </c>
      <c r="AZ59" s="91">
        <f t="shared" si="50"/>
        <v>87.652425631576861</v>
      </c>
      <c r="BA59" s="33">
        <f t="shared" ca="1" si="49"/>
        <v>0</v>
      </c>
      <c r="BB59" s="33">
        <f t="shared" ca="1" si="45"/>
        <v>3.4117107611566273</v>
      </c>
    </row>
    <row r="60" spans="1:54" x14ac:dyDescent="0.25">
      <c r="D60" s="154">
        <v>42205</v>
      </c>
      <c r="E60" s="58">
        <v>0</v>
      </c>
      <c r="G60" s="18"/>
      <c r="L60" s="83">
        <f t="shared" si="11"/>
        <v>0</v>
      </c>
      <c r="M60" s="68"/>
      <c r="N60" s="62">
        <v>42205</v>
      </c>
      <c r="O60" s="37">
        <f t="shared" si="12"/>
        <v>0</v>
      </c>
      <c r="P60" s="85">
        <f t="shared" si="13"/>
        <v>0</v>
      </c>
      <c r="Q60" s="85">
        <f t="shared" si="14"/>
        <v>0</v>
      </c>
      <c r="R60" s="84">
        <f t="shared" si="27"/>
        <v>59113.322280735418</v>
      </c>
      <c r="S60" s="86">
        <f t="shared" si="15"/>
        <v>1.3570551487772133</v>
      </c>
      <c r="T60" s="85">
        <f t="shared" si="16"/>
        <v>86.676425631576848</v>
      </c>
      <c r="U60" s="88">
        <f>LOOKUP(N60,'weather data'!$B$7:$B$158,'weather data'!$C$7:$C$158)</f>
        <v>0.03</v>
      </c>
      <c r="V60" s="88">
        <f t="shared" si="17"/>
        <v>0</v>
      </c>
      <c r="W60" s="88">
        <f t="shared" si="28"/>
        <v>0.97600000000000009</v>
      </c>
      <c r="X60" s="79">
        <f>LOOKUP(N60,'weather data'!$B$7:$B$158,'weather data'!$E$7:$E$158)</f>
        <v>0.18</v>
      </c>
      <c r="Y60" s="6">
        <v>1</v>
      </c>
      <c r="Z60" s="6">
        <v>50</v>
      </c>
      <c r="AA60" s="95">
        <f t="shared" si="46"/>
        <v>66.115702479338836</v>
      </c>
      <c r="AB60" s="94">
        <f ca="1">FORECAST(AA60,OFFSET(Soils!$K$41:$K$57,MATCH(AA60,Soils!$J$41:$J$57,1)-1,0,2),OFFSET(Soils!$J$41:$J$57,MATCH(AA60,Soils!$J$41:$J$57,1)-1,0,2))</f>
        <v>0.50892561983471063</v>
      </c>
      <c r="AC60" s="92">
        <f t="shared" ca="1" si="34"/>
        <v>1</v>
      </c>
      <c r="AD60" s="92">
        <f t="shared" ca="1" si="18"/>
        <v>0.50892561983471063</v>
      </c>
      <c r="AE60" s="87">
        <f t="shared" ca="1" si="19"/>
        <v>9.1606611570247909E-2</v>
      </c>
      <c r="AF60" s="87">
        <f t="shared" ca="1" si="35"/>
        <v>9.1606611570247909E-2</v>
      </c>
      <c r="AG60" s="87">
        <f t="shared" ca="1" si="36"/>
        <v>3.705841339669028</v>
      </c>
      <c r="AH60" s="56">
        <f ca="1">FORECAST(AA60,OFFSET(Soils!$L$41:$L$57,MATCH(AA60,Soils!$J$41:$J$57,1)-1,0,2),OFFSET(Soils!$J$41:$J$57,MATCH(AA60,Soils!$J$41:$J$57,1)-1,0,2))</f>
        <v>0.45425547339422934</v>
      </c>
      <c r="AI60" s="27">
        <f t="shared" ca="1" si="3"/>
        <v>1.0449470784399013</v>
      </c>
      <c r="AJ60" s="54"/>
      <c r="AK60" s="54">
        <f t="shared" ca="1" si="4"/>
        <v>1.1285428447150936</v>
      </c>
      <c r="AL60" s="54">
        <f t="shared" ca="1" si="21"/>
        <v>28.664988255763376</v>
      </c>
      <c r="AM60" s="27">
        <f t="shared" ca="1" si="37"/>
        <v>0.33856285341452808</v>
      </c>
      <c r="AN60" s="40">
        <f t="shared" ca="1" si="38"/>
        <v>0.78997999130056551</v>
      </c>
      <c r="AO60" s="27">
        <f t="shared" ca="1" si="39"/>
        <v>0.20252396694214878</v>
      </c>
      <c r="AP60" s="27">
        <f t="shared" ca="1" si="47"/>
        <v>0.29413057851239666</v>
      </c>
      <c r="AQ60" s="27">
        <f t="shared" ca="1" si="40"/>
        <v>0.83441226620269693</v>
      </c>
      <c r="AR60" s="27">
        <f t="shared" ca="1" si="41"/>
        <v>1</v>
      </c>
      <c r="AS60" s="27">
        <f t="shared" ca="1" si="48"/>
        <v>0</v>
      </c>
      <c r="AT60" s="28">
        <f t="shared" ca="1" si="42"/>
        <v>84.240714870420234</v>
      </c>
      <c r="AU60" s="27">
        <f t="shared" ca="1" si="9"/>
        <v>0</v>
      </c>
      <c r="AV60" s="51">
        <f t="shared" ca="1" si="24"/>
        <v>0</v>
      </c>
      <c r="AW60" s="51">
        <f t="shared" ca="1" si="43"/>
        <v>83.759494284684962</v>
      </c>
      <c r="AX60" s="27">
        <f t="shared" ca="1" si="25"/>
        <v>0</v>
      </c>
      <c r="AY60" s="54">
        <f t="shared" ca="1" si="44"/>
        <v>0.48122058573527648</v>
      </c>
      <c r="AZ60" s="91">
        <f t="shared" si="50"/>
        <v>87.652425631576861</v>
      </c>
      <c r="BA60" s="33">
        <f t="shared" ca="1" si="49"/>
        <v>0</v>
      </c>
      <c r="BB60" s="33">
        <f t="shared" ca="1" si="45"/>
        <v>3.4117107611566273</v>
      </c>
    </row>
    <row r="61" spans="1:54" x14ac:dyDescent="0.25">
      <c r="B61" s="18"/>
      <c r="D61" s="154">
        <v>42206</v>
      </c>
      <c r="E61" s="58">
        <v>0</v>
      </c>
      <c r="G61" s="18"/>
      <c r="L61" s="83">
        <f t="shared" si="11"/>
        <v>0</v>
      </c>
      <c r="M61" s="68"/>
      <c r="N61" s="62">
        <v>42206</v>
      </c>
      <c r="O61" s="37">
        <f t="shared" si="12"/>
        <v>0</v>
      </c>
      <c r="P61" s="85">
        <f t="shared" si="13"/>
        <v>0</v>
      </c>
      <c r="Q61" s="85">
        <f t="shared" si="14"/>
        <v>0</v>
      </c>
      <c r="R61" s="84">
        <f t="shared" si="27"/>
        <v>59113.322280735418</v>
      </c>
      <c r="S61" s="86">
        <f t="shared" si="15"/>
        <v>1.3570551487772133</v>
      </c>
      <c r="T61" s="85">
        <f t="shared" si="16"/>
        <v>86.676425631576848</v>
      </c>
      <c r="U61" s="88">
        <f>LOOKUP(N61,'weather data'!$B$7:$B$158,'weather data'!$C$7:$C$158)</f>
        <v>0</v>
      </c>
      <c r="V61" s="88">
        <f t="shared" si="17"/>
        <v>0</v>
      </c>
      <c r="W61" s="88">
        <f t="shared" si="28"/>
        <v>0.97600000000000009</v>
      </c>
      <c r="X61" s="79">
        <f>LOOKUP(N61,'weather data'!$B$7:$B$158,'weather data'!$E$7:$E$158)</f>
        <v>0.23</v>
      </c>
      <c r="Y61" s="6">
        <v>1</v>
      </c>
      <c r="Z61" s="6">
        <v>51</v>
      </c>
      <c r="AA61" s="95">
        <f t="shared" si="46"/>
        <v>67.438016528925615</v>
      </c>
      <c r="AB61" s="94">
        <f ca="1">FORECAST(AA61,OFFSET(Soils!$K$41:$K$57,MATCH(AA61,Soils!$J$41:$J$57,1)-1,0,2),OFFSET(Soils!$J$41:$J$57,MATCH(AA61,Soils!$J$41:$J$57,1)-1,0,2))</f>
        <v>0.5195041322314049</v>
      </c>
      <c r="AC61" s="92">
        <f t="shared" ca="1" si="34"/>
        <v>1</v>
      </c>
      <c r="AD61" s="92">
        <f t="shared" ca="1" si="18"/>
        <v>0.5195041322314049</v>
      </c>
      <c r="AE61" s="87">
        <f t="shared" ca="1" si="19"/>
        <v>0.11948595041322313</v>
      </c>
      <c r="AF61" s="87">
        <f t="shared" ca="1" si="35"/>
        <v>0.11948595041322313</v>
      </c>
      <c r="AG61" s="87">
        <f t="shared" ca="1" si="36"/>
        <v>3.8253272900822513</v>
      </c>
      <c r="AH61" s="56">
        <f ca="1">FORECAST(AA61,OFFSET(Soils!$L$41:$L$57,MATCH(AA61,Soils!$J$41:$J$57,1)-1,0,2),OFFSET(Soils!$J$41:$J$57,MATCH(AA61,Soils!$J$41:$J$57,1)-1,0,2))</f>
        <v>0.47281426707264029</v>
      </c>
      <c r="AI61" s="27">
        <f t="shared" ca="1" si="3"/>
        <v>1.0774249673771206</v>
      </c>
      <c r="AJ61" s="54"/>
      <c r="AK61" s="54">
        <f t="shared" ca="1" si="4"/>
        <v>1.1636189647672903</v>
      </c>
      <c r="AL61" s="54">
        <f t="shared" ca="1" si="21"/>
        <v>29.555921705089172</v>
      </c>
      <c r="AM61" s="27">
        <f t="shared" ca="1" si="37"/>
        <v>0.34908568943018708</v>
      </c>
      <c r="AN61" s="40">
        <f t="shared" ca="1" si="38"/>
        <v>0.81453327533710329</v>
      </c>
      <c r="AO61" s="27">
        <f t="shared" ca="1" si="39"/>
        <v>0.29413057851239666</v>
      </c>
      <c r="AP61" s="27">
        <f t="shared" ca="1" si="47"/>
        <v>0.41361652892561979</v>
      </c>
      <c r="AQ61" s="27">
        <f t="shared" ca="1" si="40"/>
        <v>0.75000243584167059</v>
      </c>
      <c r="AR61" s="27">
        <f t="shared" ca="1" si="41"/>
        <v>1</v>
      </c>
      <c r="AS61" s="27">
        <f t="shared" ca="1" si="48"/>
        <v>0</v>
      </c>
      <c r="AT61" s="28">
        <f t="shared" ca="1" si="42"/>
        <v>84.240714870420234</v>
      </c>
      <c r="AU61" s="27">
        <f t="shared" ca="1" si="9"/>
        <v>0</v>
      </c>
      <c r="AV61" s="51">
        <f t="shared" ca="1" si="24"/>
        <v>0</v>
      </c>
      <c r="AW61" s="51">
        <f t="shared" ca="1" si="43"/>
        <v>83.759494284684962</v>
      </c>
      <c r="AX61" s="27">
        <f t="shared" ca="1" si="25"/>
        <v>0</v>
      </c>
      <c r="AY61" s="54">
        <f t="shared" ca="1" si="44"/>
        <v>0.48122058573527648</v>
      </c>
      <c r="AZ61" s="91">
        <f t="shared" si="50"/>
        <v>87.652425631576861</v>
      </c>
      <c r="BA61" s="33">
        <f t="shared" ca="1" si="49"/>
        <v>0</v>
      </c>
      <c r="BB61" s="33">
        <f t="shared" ca="1" si="45"/>
        <v>3.4117107611566273</v>
      </c>
    </row>
    <row r="62" spans="1:54" x14ac:dyDescent="0.25">
      <c r="B62" s="18"/>
      <c r="D62" s="154">
        <v>42207</v>
      </c>
      <c r="E62" s="58">
        <v>0</v>
      </c>
      <c r="G62" s="18"/>
      <c r="L62" s="83">
        <f t="shared" si="11"/>
        <v>0</v>
      </c>
      <c r="M62" s="68"/>
      <c r="N62" s="62">
        <v>42207</v>
      </c>
      <c r="O62" s="37">
        <f t="shared" si="12"/>
        <v>0</v>
      </c>
      <c r="P62" s="85">
        <f t="shared" si="13"/>
        <v>0</v>
      </c>
      <c r="Q62" s="85">
        <f t="shared" si="14"/>
        <v>0</v>
      </c>
      <c r="R62" s="84">
        <f t="shared" si="27"/>
        <v>59113.322280735418</v>
      </c>
      <c r="S62" s="86">
        <f t="shared" si="15"/>
        <v>1.3570551487772133</v>
      </c>
      <c r="T62" s="85">
        <f t="shared" si="16"/>
        <v>86.676425631576848</v>
      </c>
      <c r="U62" s="88">
        <f>LOOKUP(N62,'weather data'!$B$7:$B$158,'weather data'!$C$7:$C$158)</f>
        <v>0</v>
      </c>
      <c r="V62" s="88">
        <f t="shared" si="17"/>
        <v>0</v>
      </c>
      <c r="W62" s="88">
        <f t="shared" si="28"/>
        <v>0.97600000000000009</v>
      </c>
      <c r="X62" s="79">
        <f>LOOKUP(N62,'weather data'!$B$7:$B$158,'weather data'!$E$7:$E$158)</f>
        <v>0.33</v>
      </c>
      <c r="Y62" s="6">
        <v>1</v>
      </c>
      <c r="Z62" s="6">
        <v>52</v>
      </c>
      <c r="AA62" s="95">
        <f t="shared" si="46"/>
        <v>68.760330578512395</v>
      </c>
      <c r="AB62" s="94">
        <f ca="1">FORECAST(AA62,OFFSET(Soils!$K$41:$K$57,MATCH(AA62,Soils!$J$41:$J$57,1)-1,0,2),OFFSET(Soils!$J$41:$J$57,MATCH(AA62,Soils!$J$41:$J$57,1)-1,0,2))</f>
        <v>0.53008264462809918</v>
      </c>
      <c r="AC62" s="92">
        <f t="shared" ca="1" si="34"/>
        <v>0.93563476511876276</v>
      </c>
      <c r="AD62" s="92">
        <f t="shared" ca="1" si="18"/>
        <v>0.49596375070014415</v>
      </c>
      <c r="AE62" s="87">
        <f t="shared" ca="1" si="19"/>
        <v>0.17492727272727274</v>
      </c>
      <c r="AF62" s="87">
        <f t="shared" ca="1" si="35"/>
        <v>0.16366803773104757</v>
      </c>
      <c r="AG62" s="87">
        <f t="shared" ca="1" si="36"/>
        <v>3.9889953278132988</v>
      </c>
      <c r="AH62" s="56">
        <f ca="1">FORECAST(AA62,OFFSET(Soils!$L$41:$L$57,MATCH(AA62,Soils!$J$41:$J$57,1)-1,0,2),OFFSET(Soils!$J$41:$J$57,MATCH(AA62,Soils!$J$41:$J$57,1)-1,0,2))</f>
        <v>0.49137306075105125</v>
      </c>
      <c r="AI62" s="27">
        <f t="shared" ca="1" si="3"/>
        <v>1.1099028563143398</v>
      </c>
      <c r="AJ62" s="54"/>
      <c r="AK62" s="54">
        <f t="shared" ca="1" si="4"/>
        <v>1.1986950848194871</v>
      </c>
      <c r="AL62" s="54">
        <f t="shared" ca="1" si="21"/>
        <v>30.446855154414969</v>
      </c>
      <c r="AM62" s="27">
        <f t="shared" ca="1" si="37"/>
        <v>0.35960852544584609</v>
      </c>
      <c r="AN62" s="40">
        <f t="shared" ca="1" si="38"/>
        <v>0.83908655937364096</v>
      </c>
      <c r="AO62" s="27">
        <f t="shared" ca="1" si="39"/>
        <v>0.41361652892561979</v>
      </c>
      <c r="AP62" s="27">
        <f t="shared" ca="1" si="47"/>
        <v>0.57728456665666739</v>
      </c>
      <c r="AQ62" s="27">
        <f t="shared" ca="1" si="40"/>
        <v>0.62141051816281967</v>
      </c>
      <c r="AR62" s="27">
        <f t="shared" ca="1" si="41"/>
        <v>0.93563476511876276</v>
      </c>
      <c r="AS62" s="27">
        <f t="shared" ca="1" si="48"/>
        <v>0</v>
      </c>
      <c r="AT62" s="28">
        <f t="shared" ca="1" si="42"/>
        <v>84.240714870420234</v>
      </c>
      <c r="AU62" s="27">
        <f t="shared" ca="1" si="9"/>
        <v>0</v>
      </c>
      <c r="AV62" s="51">
        <f t="shared" ca="1" si="24"/>
        <v>0</v>
      </c>
      <c r="AW62" s="51">
        <f t="shared" ca="1" si="43"/>
        <v>83.759494284684962</v>
      </c>
      <c r="AX62" s="27">
        <f t="shared" ca="1" si="25"/>
        <v>0</v>
      </c>
      <c r="AY62" s="54">
        <f t="shared" ca="1" si="44"/>
        <v>0.48122058573527648</v>
      </c>
      <c r="AZ62" s="91">
        <f t="shared" si="50"/>
        <v>87.652425631576861</v>
      </c>
      <c r="BA62" s="33">
        <f t="shared" ca="1" si="49"/>
        <v>0</v>
      </c>
      <c r="BB62" s="33">
        <f t="shared" ca="1" si="45"/>
        <v>3.4117107611566273</v>
      </c>
    </row>
    <row r="63" spans="1:54" x14ac:dyDescent="0.25">
      <c r="B63" s="18"/>
      <c r="D63" s="154">
        <v>42208</v>
      </c>
      <c r="E63" s="58">
        <v>0</v>
      </c>
      <c r="G63" s="18"/>
      <c r="L63" s="83">
        <f t="shared" si="11"/>
        <v>0</v>
      </c>
      <c r="M63" s="68"/>
      <c r="N63" s="62">
        <v>42208</v>
      </c>
      <c r="O63" s="37">
        <f t="shared" si="12"/>
        <v>0</v>
      </c>
      <c r="P63" s="85">
        <f t="shared" si="13"/>
        <v>0</v>
      </c>
      <c r="Q63" s="85">
        <f t="shared" si="14"/>
        <v>0</v>
      </c>
      <c r="R63" s="84">
        <f t="shared" si="27"/>
        <v>59113.322280735418</v>
      </c>
      <c r="S63" s="86">
        <f t="shared" si="15"/>
        <v>1.3570551487772133</v>
      </c>
      <c r="T63" s="85">
        <f t="shared" si="16"/>
        <v>86.676425631576848</v>
      </c>
      <c r="U63" s="88">
        <f>LOOKUP(N63,'weather data'!$B$7:$B$158,'weather data'!$C$7:$C$158)</f>
        <v>0</v>
      </c>
      <c r="V63" s="88">
        <f t="shared" si="17"/>
        <v>0</v>
      </c>
      <c r="W63" s="88">
        <f t="shared" si="28"/>
        <v>0.97600000000000009</v>
      </c>
      <c r="X63" s="79">
        <f>LOOKUP(N63,'weather data'!$B$7:$B$158,'weather data'!$E$7:$E$158)</f>
        <v>0.27</v>
      </c>
      <c r="Y63" s="6">
        <v>1</v>
      </c>
      <c r="Z63" s="6">
        <v>53</v>
      </c>
      <c r="AA63" s="95">
        <f t="shared" si="46"/>
        <v>70.082644628099175</v>
      </c>
      <c r="AB63" s="94">
        <f ca="1">FORECAST(AA63,OFFSET(Soils!$K$41:$K$57,MATCH(AA63,Soils!$J$41:$J$57,1)-1,0,2),OFFSET(Soils!$J$41:$J$57,MATCH(AA63,Soils!$J$41:$J$57,1)-1,0,2))</f>
        <v>0.5407438016528926</v>
      </c>
      <c r="AC63" s="92">
        <f t="shared" ca="1" si="34"/>
        <v>0.76028779251447143</v>
      </c>
      <c r="AD63" s="92">
        <f t="shared" ca="1" si="18"/>
        <v>0.41112091127456091</v>
      </c>
      <c r="AE63" s="87">
        <f t="shared" ca="1" si="19"/>
        <v>0.14600082644628101</v>
      </c>
      <c r="AF63" s="87">
        <f t="shared" ca="1" si="35"/>
        <v>0.11100264604413144</v>
      </c>
      <c r="AG63" s="87">
        <f t="shared" ca="1" si="36"/>
        <v>4.0999979738574304</v>
      </c>
      <c r="AH63" s="56">
        <f ca="1">FORECAST(AA63,OFFSET(Soils!$L$41:$L$57,MATCH(AA63,Soils!$J$41:$J$57,1)-1,0,2),OFFSET(Soils!$J$41:$J$57,MATCH(AA63,Soils!$J$41:$J$57,1)-1,0,2))</f>
        <v>0.51007684500507477</v>
      </c>
      <c r="AI63" s="27">
        <f t="shared" ca="1" si="3"/>
        <v>1.1426344787588809</v>
      </c>
      <c r="AJ63" s="54"/>
      <c r="AK63" s="54">
        <f t="shared" ca="1" si="4"/>
        <v>1.2340452370595916</v>
      </c>
      <c r="AL63" s="54">
        <f t="shared" ca="1" si="21"/>
        <v>31.344749021313625</v>
      </c>
      <c r="AM63" s="27">
        <f t="shared" ca="1" si="37"/>
        <v>0.37021357111787745</v>
      </c>
      <c r="AN63" s="40">
        <f t="shared" ca="1" si="38"/>
        <v>0.86383166594171412</v>
      </c>
      <c r="AO63" s="27">
        <f t="shared" ca="1" si="39"/>
        <v>0.57728456665666739</v>
      </c>
      <c r="AP63" s="27">
        <f t="shared" ca="1" si="47"/>
        <v>0.68828721270079884</v>
      </c>
      <c r="AQ63" s="27">
        <f t="shared" ca="1" si="40"/>
        <v>0.54575802435879273</v>
      </c>
      <c r="AR63" s="27">
        <f t="shared" ca="1" si="41"/>
        <v>0.76028779251447143</v>
      </c>
      <c r="AS63" s="27">
        <f t="shared" ca="1" si="48"/>
        <v>0</v>
      </c>
      <c r="AT63" s="28">
        <f t="shared" ca="1" si="42"/>
        <v>84.240714870420234</v>
      </c>
      <c r="AU63" s="27">
        <f t="shared" ca="1" si="9"/>
        <v>0</v>
      </c>
      <c r="AV63" s="51">
        <f t="shared" ca="1" si="24"/>
        <v>0</v>
      </c>
      <c r="AW63" s="51">
        <f t="shared" ca="1" si="43"/>
        <v>83.759494284684962</v>
      </c>
      <c r="AX63" s="27">
        <f t="shared" ca="1" si="25"/>
        <v>0</v>
      </c>
      <c r="AY63" s="54">
        <f t="shared" ca="1" si="44"/>
        <v>0.48122058573527648</v>
      </c>
      <c r="AZ63" s="91">
        <f t="shared" si="50"/>
        <v>87.652425631576861</v>
      </c>
      <c r="BA63" s="33">
        <f t="shared" ca="1" si="49"/>
        <v>0</v>
      </c>
      <c r="BB63" s="33">
        <f t="shared" ca="1" si="45"/>
        <v>3.4117107611566273</v>
      </c>
    </row>
    <row r="64" spans="1:54" x14ac:dyDescent="0.25">
      <c r="B64" s="18"/>
      <c r="D64" s="154">
        <v>42209</v>
      </c>
      <c r="E64" s="58">
        <f>B27</f>
        <v>2812.6839775335684</v>
      </c>
      <c r="G64" s="18"/>
      <c r="L64" s="83">
        <f t="shared" si="11"/>
        <v>2812.6839775335684</v>
      </c>
      <c r="M64" s="68"/>
      <c r="N64" s="62">
        <v>42209</v>
      </c>
      <c r="O64" s="37">
        <f t="shared" si="12"/>
        <v>2812.6839775335684</v>
      </c>
      <c r="P64" s="85">
        <f t="shared" si="13"/>
        <v>4.1241700550345577</v>
      </c>
      <c r="Q64" s="85">
        <f t="shared" si="14"/>
        <v>104.75391939787777</v>
      </c>
      <c r="R64" s="84">
        <f t="shared" si="27"/>
        <v>61926.006258268986</v>
      </c>
      <c r="S64" s="86">
        <f t="shared" si="15"/>
        <v>1.4216254880227039</v>
      </c>
      <c r="T64" s="85">
        <f t="shared" si="16"/>
        <v>90.80059568661143</v>
      </c>
      <c r="U64" s="88">
        <f>LOOKUP(N64,'weather data'!$B$7:$B$158,'weather data'!$C$7:$C$158)</f>
        <v>0</v>
      </c>
      <c r="V64" s="88">
        <f t="shared" si="17"/>
        <v>0</v>
      </c>
      <c r="W64" s="88">
        <f t="shared" si="28"/>
        <v>0.97600000000000009</v>
      </c>
      <c r="X64" s="79">
        <f>LOOKUP(N64,'weather data'!$B$7:$B$158,'weather data'!$E$7:$E$158)</f>
        <v>0.3</v>
      </c>
      <c r="Y64" s="6">
        <v>1</v>
      </c>
      <c r="Z64" s="6">
        <v>54</v>
      </c>
      <c r="AA64" s="95">
        <f t="shared" si="46"/>
        <v>71.404958677685954</v>
      </c>
      <c r="AB64" s="94">
        <f ca="1">FORECAST(AA64,OFFSET(Soils!$K$41:$K$57,MATCH(AA64,Soils!$J$41:$J$57,1)-1,0,2),OFFSET(Soils!$J$41:$J$57,MATCH(AA64,Soils!$J$41:$J$57,1)-1,0,2))</f>
        <v>0.55264462809917358</v>
      </c>
      <c r="AC64" s="92">
        <f t="shared" ca="1" si="34"/>
        <v>0.65647648323765606</v>
      </c>
      <c r="AD64" s="92">
        <f t="shared" ca="1" si="18"/>
        <v>0.36279820193472778</v>
      </c>
      <c r="AE64" s="87">
        <f t="shared" ca="1" si="19"/>
        <v>0.16579338842975208</v>
      </c>
      <c r="AF64" s="87">
        <f t="shared" ca="1" si="35"/>
        <v>0.10883946058041834</v>
      </c>
      <c r="AG64" s="87">
        <f t="shared" ca="1" si="36"/>
        <v>4.2088374344378483</v>
      </c>
      <c r="AH64" s="56">
        <f ca="1">FORECAST(AA64,OFFSET(Soils!$L$41:$L$57,MATCH(AA64,Soils!$J$41:$J$57,1)-1,0,2),OFFSET(Soils!$J$41:$J$57,MATCH(AA64,Soils!$J$41:$J$57,1)-1,0,2))</f>
        <v>0.53095548789328717</v>
      </c>
      <c r="AI64" s="27">
        <f t="shared" ca="1" si="3"/>
        <v>1.1791721038132525</v>
      </c>
      <c r="AJ64" s="54"/>
      <c r="AK64" s="54">
        <f t="shared" ca="1" si="4"/>
        <v>1.2735058721183128</v>
      </c>
      <c r="AL64" s="54">
        <f t="shared" ca="1" si="21"/>
        <v>32.347049151805145</v>
      </c>
      <c r="AM64" s="27">
        <f t="shared" ca="1" si="37"/>
        <v>0.38205176163549381</v>
      </c>
      <c r="AN64" s="40">
        <f t="shared" ca="1" si="38"/>
        <v>0.89145411048281897</v>
      </c>
      <c r="AO64" s="27">
        <f t="shared" ca="1" si="39"/>
        <v>0.68828721270079884</v>
      </c>
      <c r="AP64" s="27">
        <f t="shared" ca="1" si="47"/>
        <v>0</v>
      </c>
      <c r="AQ64" s="27">
        <f t="shared" ca="1" si="40"/>
        <v>1.2735058721183128</v>
      </c>
      <c r="AR64" s="27">
        <f t="shared" ca="1" si="41"/>
        <v>0.65647648323765606</v>
      </c>
      <c r="AS64" s="27">
        <f t="shared" ca="1" si="48"/>
        <v>3.3270433817533407</v>
      </c>
      <c r="AT64" s="28">
        <f t="shared" ca="1" si="42"/>
        <v>87.567758252173576</v>
      </c>
      <c r="AU64" s="27">
        <f t="shared" ca="1" si="9"/>
        <v>3.3270433817533407</v>
      </c>
      <c r="AV64" s="51">
        <f t="shared" ca="1" si="24"/>
        <v>84.506901896534842</v>
      </c>
      <c r="AW64" s="51">
        <f t="shared" ca="1" si="43"/>
        <v>87.086537666438304</v>
      </c>
      <c r="AX64" s="27">
        <f t="shared" ca="1" si="25"/>
        <v>0</v>
      </c>
      <c r="AY64" s="54">
        <f t="shared" ca="1" si="44"/>
        <v>0.48122058573527648</v>
      </c>
      <c r="AZ64" s="91">
        <f t="shared" si="50"/>
        <v>91.776595686611415</v>
      </c>
      <c r="BA64" s="33">
        <f t="shared" ca="1" si="49"/>
        <v>0.797126673281217</v>
      </c>
      <c r="BB64" s="33">
        <f t="shared" ca="1" si="45"/>
        <v>4.2088374344378447</v>
      </c>
    </row>
    <row r="65" spans="2:54" x14ac:dyDescent="0.25">
      <c r="B65" s="18"/>
      <c r="D65" s="154">
        <v>42210</v>
      </c>
      <c r="E65" s="58">
        <v>0</v>
      </c>
      <c r="G65" s="18"/>
      <c r="L65" s="83">
        <f t="shared" si="11"/>
        <v>0</v>
      </c>
      <c r="M65" s="68"/>
      <c r="N65" s="62">
        <v>42210</v>
      </c>
      <c r="O65" s="37">
        <f t="shared" si="12"/>
        <v>0</v>
      </c>
      <c r="P65" s="85">
        <f t="shared" si="13"/>
        <v>0</v>
      </c>
      <c r="Q65" s="85">
        <f t="shared" si="14"/>
        <v>0</v>
      </c>
      <c r="R65" s="84">
        <f t="shared" si="27"/>
        <v>61926.006258268986</v>
      </c>
      <c r="S65" s="86">
        <f t="shared" si="15"/>
        <v>1.4216254880227039</v>
      </c>
      <c r="T65" s="85">
        <f t="shared" si="16"/>
        <v>90.80059568661143</v>
      </c>
      <c r="U65" s="88">
        <f>LOOKUP(N65,'weather data'!$B$7:$B$158,'weather data'!$C$7:$C$158)</f>
        <v>0</v>
      </c>
      <c r="V65" s="88">
        <f t="shared" si="17"/>
        <v>0</v>
      </c>
      <c r="W65" s="88">
        <f t="shared" si="28"/>
        <v>0.97600000000000009</v>
      </c>
      <c r="X65" s="79">
        <f>LOOKUP(N65,'weather data'!$B$7:$B$158,'weather data'!$E$7:$E$158)</f>
        <v>0.3</v>
      </c>
      <c r="Y65" s="6">
        <v>1</v>
      </c>
      <c r="Z65" s="6">
        <v>55</v>
      </c>
      <c r="AA65" s="95">
        <f t="shared" si="46"/>
        <v>72.727272727272734</v>
      </c>
      <c r="AB65" s="94">
        <f ca="1">FORECAST(AA65,OFFSET(Soils!$K$41:$K$57,MATCH(AA65,Soils!$J$41:$J$57,1)-1,0,2),OFFSET(Soils!$J$41:$J$57,MATCH(AA65,Soils!$J$41:$J$57,1)-1,0,2))</f>
        <v>0.56454545454545457</v>
      </c>
      <c r="AC65" s="92">
        <f t="shared" ca="1" si="34"/>
        <v>1</v>
      </c>
      <c r="AD65" s="92">
        <f t="shared" ca="1" si="18"/>
        <v>0.56454545454545457</v>
      </c>
      <c r="AE65" s="87">
        <f t="shared" ca="1" si="19"/>
        <v>0.16936363636363636</v>
      </c>
      <c r="AF65" s="87">
        <f t="shared" ca="1" si="35"/>
        <v>0.16936363636363636</v>
      </c>
      <c r="AG65" s="87">
        <f t="shared" ca="1" si="36"/>
        <v>4.3782010708014845</v>
      </c>
      <c r="AH65" s="56">
        <f ca="1">FORECAST(AA65,OFFSET(Soils!$L$41:$L$57,MATCH(AA65,Soils!$J$41:$J$57,1)-1,0,2),OFFSET(Soils!$J$41:$J$57,MATCH(AA65,Soils!$J$41:$J$57,1)-1,0,2))</f>
        <v>0.55183413078149934</v>
      </c>
      <c r="AI65" s="27">
        <f t="shared" ca="1" si="3"/>
        <v>1.215709728867624</v>
      </c>
      <c r="AJ65" s="54"/>
      <c r="AK65" s="54">
        <f t="shared" ca="1" si="4"/>
        <v>1.312966507177034</v>
      </c>
      <c r="AL65" s="54">
        <f t="shared" ca="1" si="21"/>
        <v>33.349349282296664</v>
      </c>
      <c r="AM65" s="27">
        <f t="shared" ca="1" si="37"/>
        <v>0.39388995215311018</v>
      </c>
      <c r="AN65" s="40">
        <f t="shared" ca="1" si="38"/>
        <v>0.91907655502392382</v>
      </c>
      <c r="AO65" s="27">
        <f t="shared" ca="1" si="39"/>
        <v>0</v>
      </c>
      <c r="AP65" s="27">
        <f t="shared" ca="1" si="47"/>
        <v>0.16936363636363636</v>
      </c>
      <c r="AQ65" s="27">
        <f t="shared" ca="1" si="40"/>
        <v>1.1436028708133976</v>
      </c>
      <c r="AR65" s="27">
        <f t="shared" ca="1" si="41"/>
        <v>1</v>
      </c>
      <c r="AS65" s="27">
        <f t="shared" ca="1" si="48"/>
        <v>0</v>
      </c>
      <c r="AT65" s="28">
        <f t="shared" ca="1" si="42"/>
        <v>87.567758252173576</v>
      </c>
      <c r="AU65" s="27">
        <f t="shared" ca="1" si="9"/>
        <v>0</v>
      </c>
      <c r="AV65" s="51">
        <f t="shared" ca="1" si="24"/>
        <v>0</v>
      </c>
      <c r="AW65" s="51">
        <f t="shared" ca="1" si="43"/>
        <v>87.086537666438304</v>
      </c>
      <c r="AX65" s="27">
        <f t="shared" ca="1" si="25"/>
        <v>0</v>
      </c>
      <c r="AY65" s="54">
        <f t="shared" ca="1" si="44"/>
        <v>0.48122058573527648</v>
      </c>
      <c r="AZ65" s="91">
        <f t="shared" si="50"/>
        <v>91.776595686611415</v>
      </c>
      <c r="BA65" s="33">
        <f t="shared" ca="1" si="49"/>
        <v>0</v>
      </c>
      <c r="BB65" s="33">
        <f t="shared" ca="1" si="45"/>
        <v>4.2088374344378447</v>
      </c>
    </row>
    <row r="66" spans="2:54" x14ac:dyDescent="0.25">
      <c r="B66" s="18"/>
      <c r="D66" s="154">
        <v>42211</v>
      </c>
      <c r="E66" s="58">
        <v>0</v>
      </c>
      <c r="G66" s="18"/>
      <c r="L66" s="83">
        <f t="shared" si="11"/>
        <v>0</v>
      </c>
      <c r="M66" s="68"/>
      <c r="N66" s="62">
        <v>42211</v>
      </c>
      <c r="O66" s="37">
        <f t="shared" si="12"/>
        <v>0</v>
      </c>
      <c r="P66" s="85">
        <f t="shared" si="13"/>
        <v>0</v>
      </c>
      <c r="Q66" s="85">
        <f t="shared" si="14"/>
        <v>0</v>
      </c>
      <c r="R66" s="84">
        <f t="shared" si="27"/>
        <v>61926.006258268986</v>
      </c>
      <c r="S66" s="86">
        <f t="shared" si="15"/>
        <v>1.4216254880227039</v>
      </c>
      <c r="T66" s="85">
        <f t="shared" si="16"/>
        <v>90.80059568661143</v>
      </c>
      <c r="U66" s="88">
        <f>LOOKUP(N66,'weather data'!$B$7:$B$158,'weather data'!$C$7:$C$158)</f>
        <v>0</v>
      </c>
      <c r="V66" s="88">
        <f t="shared" si="17"/>
        <v>0</v>
      </c>
      <c r="W66" s="88">
        <f t="shared" si="28"/>
        <v>0.97600000000000009</v>
      </c>
      <c r="X66" s="79">
        <f>LOOKUP(N66,'weather data'!$B$7:$B$158,'weather data'!$E$7:$E$158)</f>
        <v>0.34</v>
      </c>
      <c r="Y66" s="6">
        <v>1</v>
      </c>
      <c r="Z66" s="6">
        <v>56</v>
      </c>
      <c r="AA66" s="95">
        <f t="shared" si="46"/>
        <v>74.049586776859499</v>
      </c>
      <c r="AB66" s="94">
        <f ca="1">FORECAST(AA66,OFFSET(Soils!$K$41:$K$57,MATCH(AA66,Soils!$J$41:$J$57,1)-1,0,2),OFFSET(Soils!$J$41:$J$57,MATCH(AA66,Soils!$J$41:$J$57,1)-1,0,2))</f>
        <v>0.57644628099173545</v>
      </c>
      <c r="AC66" s="92">
        <f t="shared" ca="1" si="34"/>
        <v>1</v>
      </c>
      <c r="AD66" s="92">
        <f t="shared" ca="1" si="18"/>
        <v>0.57644628099173545</v>
      </c>
      <c r="AE66" s="87">
        <f t="shared" ca="1" si="19"/>
        <v>0.19599173553719007</v>
      </c>
      <c r="AF66" s="87">
        <f t="shared" ca="1" si="35"/>
        <v>0.19599173553719007</v>
      </c>
      <c r="AG66" s="87">
        <f t="shared" ca="1" si="36"/>
        <v>4.5741928063386741</v>
      </c>
      <c r="AH66" s="56">
        <f ca="1">FORECAST(AA66,OFFSET(Soils!$L$41:$L$57,MATCH(AA66,Soils!$J$41:$J$57,1)-1,0,2),OFFSET(Soils!$J$41:$J$57,MATCH(AA66,Soils!$J$41:$J$57,1)-1,0,2))</f>
        <v>0.57271277366971152</v>
      </c>
      <c r="AI66" s="27">
        <f t="shared" ca="1" si="3"/>
        <v>1.2522473539219952</v>
      </c>
      <c r="AJ66" s="54"/>
      <c r="AK66" s="54">
        <f t="shared" ca="1" si="4"/>
        <v>1.3524271422357548</v>
      </c>
      <c r="AL66" s="54">
        <f t="shared" ca="1" si="21"/>
        <v>34.35164941278817</v>
      </c>
      <c r="AM66" s="27">
        <f t="shared" ca="1" si="37"/>
        <v>0.40572814267072643</v>
      </c>
      <c r="AN66" s="40">
        <f t="shared" ca="1" si="38"/>
        <v>0.94669899956502834</v>
      </c>
      <c r="AO66" s="27">
        <f t="shared" ca="1" si="39"/>
        <v>0.16936363636363636</v>
      </c>
      <c r="AP66" s="27">
        <f t="shared" ca="1" si="47"/>
        <v>0.36535537190082645</v>
      </c>
      <c r="AQ66" s="27">
        <f t="shared" ca="1" si="40"/>
        <v>0.98707177033492832</v>
      </c>
      <c r="AR66" s="27">
        <f t="shared" ca="1" si="41"/>
        <v>1</v>
      </c>
      <c r="AS66" s="27">
        <f t="shared" ca="1" si="48"/>
        <v>0</v>
      </c>
      <c r="AT66" s="28">
        <f t="shared" ca="1" si="42"/>
        <v>87.567758252173576</v>
      </c>
      <c r="AU66" s="27">
        <f t="shared" ca="1" si="9"/>
        <v>0</v>
      </c>
      <c r="AV66" s="51">
        <f t="shared" ca="1" si="24"/>
        <v>0</v>
      </c>
      <c r="AW66" s="51">
        <f t="shared" ca="1" si="43"/>
        <v>87.086537666438304</v>
      </c>
      <c r="AX66" s="27">
        <f t="shared" ca="1" si="25"/>
        <v>0</v>
      </c>
      <c r="AY66" s="54">
        <f t="shared" ca="1" si="44"/>
        <v>0.48122058573527648</v>
      </c>
      <c r="AZ66" s="91">
        <f t="shared" si="50"/>
        <v>91.776595686611415</v>
      </c>
      <c r="BA66" s="33">
        <f t="shared" ca="1" si="49"/>
        <v>0</v>
      </c>
      <c r="BB66" s="33">
        <f t="shared" ca="1" si="45"/>
        <v>4.2088374344378447</v>
      </c>
    </row>
    <row r="67" spans="2:54" x14ac:dyDescent="0.25">
      <c r="B67" s="18"/>
      <c r="D67" s="154">
        <v>42212</v>
      </c>
      <c r="E67" s="58">
        <f>B28</f>
        <v>4482.5790990143059</v>
      </c>
      <c r="G67" s="18"/>
      <c r="L67" s="83">
        <f t="shared" si="11"/>
        <v>4482.5790990143059</v>
      </c>
      <c r="M67" s="68"/>
      <c r="N67" s="62">
        <v>42212</v>
      </c>
      <c r="O67" s="37">
        <f t="shared" si="12"/>
        <v>4482.5790990143059</v>
      </c>
      <c r="P67" s="85">
        <f t="shared" si="13"/>
        <v>6.572696626120683</v>
      </c>
      <c r="Q67" s="85">
        <f t="shared" si="14"/>
        <v>166.94649430346533</v>
      </c>
      <c r="R67" s="84">
        <f t="shared" si="27"/>
        <v>66408.585357283286</v>
      </c>
      <c r="S67" s="86">
        <f t="shared" si="15"/>
        <v>1.5245313442902499</v>
      </c>
      <c r="T67" s="85">
        <f t="shared" si="16"/>
        <v>97.37329231273209</v>
      </c>
      <c r="U67" s="88">
        <f>LOOKUP(N67,'weather data'!$B$7:$B$158,'weather data'!$C$7:$C$158)</f>
        <v>0.08</v>
      </c>
      <c r="V67" s="88">
        <f t="shared" si="17"/>
        <v>6.4000000000000001E-2</v>
      </c>
      <c r="W67" s="88">
        <f t="shared" si="28"/>
        <v>1.04</v>
      </c>
      <c r="X67" s="79">
        <f>LOOKUP(N67,'weather data'!$B$7:$B$158,'weather data'!$E$7:$E$158)</f>
        <v>0.17</v>
      </c>
      <c r="Y67" s="6">
        <v>1</v>
      </c>
      <c r="Z67" s="6">
        <v>57</v>
      </c>
      <c r="AA67" s="95">
        <f t="shared" si="46"/>
        <v>75.371900826446279</v>
      </c>
      <c r="AB67" s="94">
        <f ca="1">FORECAST(AA67,OFFSET(Soils!$K$41:$K$57,MATCH(AA67,Soils!$J$41:$J$57,1)-1,0,2),OFFSET(Soils!$J$41:$J$57,MATCH(AA67,Soils!$J$41:$J$57,1)-1,0,2))</f>
        <v>0.58834710743801644</v>
      </c>
      <c r="AC67" s="92">
        <f t="shared" ca="1" si="34"/>
        <v>1</v>
      </c>
      <c r="AD67" s="92">
        <f t="shared" ca="1" si="18"/>
        <v>0.58834710743801644</v>
      </c>
      <c r="AE67" s="87">
        <f t="shared" ca="1" si="19"/>
        <v>0.10001900826446281</v>
      </c>
      <c r="AF67" s="87">
        <f t="shared" ca="1" si="35"/>
        <v>0.10001900826446281</v>
      </c>
      <c r="AG67" s="87">
        <f t="shared" ca="1" si="36"/>
        <v>4.6742118146031366</v>
      </c>
      <c r="AH67" s="56">
        <f ca="1">FORECAST(AA67,OFFSET(Soils!$L$41:$L$57,MATCH(AA67,Soils!$J$41:$J$57,1)-1,0,2),OFFSET(Soils!$J$41:$J$57,MATCH(AA67,Soils!$J$41:$J$57,1)-1,0,2))</f>
        <v>0.59359141655792391</v>
      </c>
      <c r="AI67" s="27">
        <f t="shared" ca="1" si="3"/>
        <v>1.2887849789763668</v>
      </c>
      <c r="AJ67" s="54"/>
      <c r="AK67" s="54">
        <f t="shared" ca="1" si="4"/>
        <v>1.3918877772944762</v>
      </c>
      <c r="AL67" s="54">
        <f t="shared" ca="1" si="21"/>
        <v>35.353949543279697</v>
      </c>
      <c r="AM67" s="27">
        <f t="shared" ca="1" si="37"/>
        <v>0.41756633318834285</v>
      </c>
      <c r="AN67" s="40">
        <f t="shared" ca="1" si="38"/>
        <v>0.97432144410613342</v>
      </c>
      <c r="AO67" s="27">
        <f t="shared" ca="1" si="39"/>
        <v>0.36535537190082645</v>
      </c>
      <c r="AP67" s="27">
        <f t="shared" ca="1" si="47"/>
        <v>0</v>
      </c>
      <c r="AQ67" s="27">
        <f t="shared" ca="1" si="40"/>
        <v>1.3918877772944762</v>
      </c>
      <c r="AR67" s="27">
        <f t="shared" ca="1" si="41"/>
        <v>1</v>
      </c>
      <c r="AS67" s="27">
        <f t="shared" ca="1" si="48"/>
        <v>6.1713222459553938</v>
      </c>
      <c r="AT67" s="28">
        <f t="shared" ca="1" si="42"/>
        <v>93.73908049812897</v>
      </c>
      <c r="AU67" s="27">
        <f t="shared" ca="1" si="9"/>
        <v>6.1118100147971033</v>
      </c>
      <c r="AV67" s="51">
        <f t="shared" ca="1" si="24"/>
        <v>155.2399743758464</v>
      </c>
      <c r="AW67" s="51">
        <f t="shared" ca="1" si="43"/>
        <v>93.198347681235404</v>
      </c>
      <c r="AX67" s="27">
        <f t="shared" ca="1" si="25"/>
        <v>5.9512231158291171E-2</v>
      </c>
      <c r="AY67" s="54">
        <f t="shared" ca="1" si="44"/>
        <v>0.54073281689356767</v>
      </c>
      <c r="AZ67" s="91">
        <f t="shared" si="50"/>
        <v>98.413292312732096</v>
      </c>
      <c r="BA67" s="33">
        <f t="shared" ca="1" si="49"/>
        <v>0.4653743801652892</v>
      </c>
      <c r="BB67" s="33">
        <f t="shared" ca="1" si="45"/>
        <v>4.674211814603134</v>
      </c>
    </row>
    <row r="68" spans="2:54" x14ac:dyDescent="0.25">
      <c r="B68" s="18"/>
      <c r="D68" s="154">
        <v>42213</v>
      </c>
      <c r="E68" s="58">
        <v>0</v>
      </c>
      <c r="G68" s="18"/>
      <c r="L68" s="83">
        <f t="shared" si="11"/>
        <v>0</v>
      </c>
      <c r="M68" s="68"/>
      <c r="N68" s="62">
        <v>42213</v>
      </c>
      <c r="O68" s="37">
        <f t="shared" si="12"/>
        <v>0</v>
      </c>
      <c r="P68" s="85">
        <f t="shared" si="13"/>
        <v>0</v>
      </c>
      <c r="Q68" s="85">
        <f t="shared" si="14"/>
        <v>0</v>
      </c>
      <c r="R68" s="84">
        <f t="shared" si="27"/>
        <v>66408.585357283286</v>
      </c>
      <c r="S68" s="86">
        <f t="shared" si="15"/>
        <v>1.5245313442902499</v>
      </c>
      <c r="T68" s="85">
        <f t="shared" si="16"/>
        <v>97.37329231273209</v>
      </c>
      <c r="U68" s="88">
        <f>LOOKUP(N68,'weather data'!$B$7:$B$158,'weather data'!$C$7:$C$158)</f>
        <v>0</v>
      </c>
      <c r="V68" s="88">
        <f t="shared" si="17"/>
        <v>0</v>
      </c>
      <c r="W68" s="88">
        <f t="shared" si="28"/>
        <v>1.04</v>
      </c>
      <c r="X68" s="79">
        <f>LOOKUP(N68,'weather data'!$B$7:$B$158,'weather data'!$E$7:$E$158)</f>
        <v>0.24</v>
      </c>
      <c r="Y68" s="6">
        <v>1</v>
      </c>
      <c r="Z68" s="6">
        <v>58</v>
      </c>
      <c r="AA68" s="95">
        <f t="shared" si="46"/>
        <v>76.694214876033058</v>
      </c>
      <c r="AB68" s="94">
        <f ca="1">FORECAST(AA68,OFFSET(Soils!$K$41:$K$57,MATCH(AA68,Soils!$J$41:$J$57,1)-1,0,2),OFFSET(Soils!$J$41:$J$57,MATCH(AA68,Soils!$J$41:$J$57,1)-1,0,2))</f>
        <v>0.60024793388429754</v>
      </c>
      <c r="AC68" s="92">
        <f t="shared" ca="1" si="34"/>
        <v>1</v>
      </c>
      <c r="AD68" s="92">
        <f t="shared" ca="1" si="18"/>
        <v>0.60024793388429754</v>
      </c>
      <c r="AE68" s="87">
        <f t="shared" ca="1" si="19"/>
        <v>0.1440595041322314</v>
      </c>
      <c r="AF68" s="87">
        <f t="shared" ca="1" si="35"/>
        <v>0.1440595041322314</v>
      </c>
      <c r="AG68" s="87">
        <f t="shared" ca="1" si="36"/>
        <v>4.8182713187353681</v>
      </c>
      <c r="AH68" s="56">
        <f ca="1">FORECAST(AA68,OFFSET(Soils!$L$41:$L$57,MATCH(AA68,Soils!$J$41:$J$57,1)-1,0,2),OFFSET(Soils!$J$41:$J$57,MATCH(AA68,Soils!$J$41:$J$57,1)-1,0,2))</f>
        <v>0.61447005944613609</v>
      </c>
      <c r="AI68" s="27">
        <f t="shared" ca="1" si="3"/>
        <v>1.3253226040307382</v>
      </c>
      <c r="AJ68" s="54"/>
      <c r="AK68" s="54">
        <f t="shared" ca="1" si="4"/>
        <v>1.4313484123531974</v>
      </c>
      <c r="AL68" s="54">
        <f t="shared" ca="1" si="21"/>
        <v>36.35624967377121</v>
      </c>
      <c r="AM68" s="27">
        <f t="shared" ca="1" si="37"/>
        <v>0.42940452370595922</v>
      </c>
      <c r="AN68" s="40">
        <f t="shared" ca="1" si="38"/>
        <v>1.0019438886472383</v>
      </c>
      <c r="AO68" s="27">
        <f t="shared" ca="1" si="39"/>
        <v>0</v>
      </c>
      <c r="AP68" s="27">
        <f t="shared" ca="1" si="47"/>
        <v>0.1440595041322314</v>
      </c>
      <c r="AQ68" s="27">
        <f t="shared" ca="1" si="40"/>
        <v>1.287288908220966</v>
      </c>
      <c r="AR68" s="27">
        <f t="shared" ca="1" si="41"/>
        <v>1</v>
      </c>
      <c r="AS68" s="27">
        <f t="shared" ca="1" si="48"/>
        <v>0</v>
      </c>
      <c r="AT68" s="28">
        <f t="shared" ca="1" si="42"/>
        <v>93.73908049812897</v>
      </c>
      <c r="AU68" s="27">
        <f t="shared" ca="1" si="9"/>
        <v>0</v>
      </c>
      <c r="AV68" s="51">
        <f t="shared" ca="1" si="24"/>
        <v>0</v>
      </c>
      <c r="AW68" s="51">
        <f t="shared" ca="1" si="43"/>
        <v>93.198347681235404</v>
      </c>
      <c r="AX68" s="27">
        <f t="shared" ca="1" si="25"/>
        <v>0</v>
      </c>
      <c r="AY68" s="54">
        <f t="shared" ca="1" si="44"/>
        <v>0.54073281689356767</v>
      </c>
      <c r="AZ68" s="91">
        <f t="shared" si="50"/>
        <v>98.413292312732096</v>
      </c>
      <c r="BA68" s="33">
        <f t="shared" ca="1" si="49"/>
        <v>0</v>
      </c>
      <c r="BB68" s="33">
        <f t="shared" ca="1" si="45"/>
        <v>4.674211814603134</v>
      </c>
    </row>
    <row r="69" spans="2:54" x14ac:dyDescent="0.25">
      <c r="B69" s="18"/>
      <c r="D69" s="154">
        <v>42214</v>
      </c>
      <c r="E69" s="58">
        <f>B29</f>
        <v>2685.9889817706153</v>
      </c>
      <c r="G69" s="18"/>
      <c r="L69" s="83">
        <f t="shared" si="11"/>
        <v>2685.9889817706153</v>
      </c>
      <c r="M69" s="68"/>
      <c r="N69" s="62">
        <v>42214</v>
      </c>
      <c r="O69" s="37">
        <f t="shared" si="12"/>
        <v>2685.9889817706153</v>
      </c>
      <c r="P69" s="85">
        <f t="shared" si="13"/>
        <v>3.9384002665258286</v>
      </c>
      <c r="Q69" s="85">
        <f t="shared" si="14"/>
        <v>100.03536676975604</v>
      </c>
      <c r="R69" s="84">
        <f t="shared" si="27"/>
        <v>69094.574339053899</v>
      </c>
      <c r="S69" s="86">
        <f t="shared" si="15"/>
        <v>1.5861931666449471</v>
      </c>
      <c r="T69" s="85">
        <f t="shared" si="16"/>
        <v>101.31169257925792</v>
      </c>
      <c r="U69" s="88">
        <f>LOOKUP(N69,'weather data'!$B$7:$B$158,'weather data'!$C$7:$C$158)</f>
        <v>0</v>
      </c>
      <c r="V69" s="88">
        <f t="shared" si="17"/>
        <v>0</v>
      </c>
      <c r="W69" s="88">
        <f t="shared" si="28"/>
        <v>1.04</v>
      </c>
      <c r="X69" s="79">
        <f>LOOKUP(N69,'weather data'!$B$7:$B$158,'weather data'!$E$7:$E$158)</f>
        <v>0.25</v>
      </c>
      <c r="Y69" s="6">
        <v>1</v>
      </c>
      <c r="Z69" s="6">
        <v>59</v>
      </c>
      <c r="AA69" s="95">
        <f t="shared" si="46"/>
        <v>78.016528925619838</v>
      </c>
      <c r="AB69" s="94">
        <f ca="1">FORECAST(AA69,OFFSET(Soils!$K$41:$K$57,MATCH(AA69,Soils!$J$41:$J$57,1)-1,0,2),OFFSET(Soils!$J$41:$J$57,MATCH(AA69,Soils!$J$41:$J$57,1)-1,0,2))</f>
        <v>0.61214876033057852</v>
      </c>
      <c r="AC69" s="92">
        <f t="shared" ca="1" si="34"/>
        <v>1</v>
      </c>
      <c r="AD69" s="92">
        <f t="shared" ca="1" si="18"/>
        <v>0.61214876033057852</v>
      </c>
      <c r="AE69" s="87">
        <f t="shared" ca="1" si="19"/>
        <v>0.15303719008264463</v>
      </c>
      <c r="AF69" s="87">
        <f t="shared" ca="1" si="35"/>
        <v>0.15303719008264463</v>
      </c>
      <c r="AG69" s="87">
        <f t="shared" ca="1" si="36"/>
        <v>4.9713085088180131</v>
      </c>
      <c r="AH69" s="56">
        <f ca="1">FORECAST(AA69,OFFSET(Soils!$L$41:$L$57,MATCH(AA69,Soils!$J$41:$J$57,1)-1,0,2),OFFSET(Soils!$J$41:$J$57,MATCH(AA69,Soils!$J$41:$J$57,1)-1,0,2))</f>
        <v>0.63534870233434848</v>
      </c>
      <c r="AI69" s="27">
        <f t="shared" ca="1" si="3"/>
        <v>1.3618602290851098</v>
      </c>
      <c r="AJ69" s="54"/>
      <c r="AK69" s="54">
        <f t="shared" ca="1" si="4"/>
        <v>1.4708090474119186</v>
      </c>
      <c r="AL69" s="54">
        <f t="shared" ca="1" si="21"/>
        <v>37.358549804262729</v>
      </c>
      <c r="AM69" s="27">
        <f t="shared" ca="1" si="37"/>
        <v>0.44124271422357558</v>
      </c>
      <c r="AN69" s="40">
        <f t="shared" ca="1" si="38"/>
        <v>1.0295663331883431</v>
      </c>
      <c r="AO69" s="27">
        <f t="shared" ca="1" si="39"/>
        <v>0.1440595041322314</v>
      </c>
      <c r="AP69" s="27">
        <f t="shared" ca="1" si="47"/>
        <v>0</v>
      </c>
      <c r="AQ69" s="27">
        <f t="shared" ca="1" si="40"/>
        <v>1.4708090474119186</v>
      </c>
      <c r="AR69" s="27">
        <f t="shared" ca="1" si="41"/>
        <v>1</v>
      </c>
      <c r="AS69" s="27">
        <f t="shared" ca="1" si="48"/>
        <v>3.6413035723109526</v>
      </c>
      <c r="AT69" s="28">
        <f t="shared" ca="1" si="42"/>
        <v>97.380384070439916</v>
      </c>
      <c r="AU69" s="27">
        <f t="shared" ca="1" si="9"/>
        <v>3.6413035723109526</v>
      </c>
      <c r="AV69" s="51">
        <f t="shared" ca="1" si="24"/>
        <v>92.489110736698194</v>
      </c>
      <c r="AW69" s="51">
        <f t="shared" ca="1" si="43"/>
        <v>96.83965125354635</v>
      </c>
      <c r="AX69" s="27">
        <f t="shared" ca="1" si="25"/>
        <v>0</v>
      </c>
      <c r="AY69" s="54">
        <f t="shared" ca="1" si="44"/>
        <v>0.54073281689356767</v>
      </c>
      <c r="AZ69" s="91">
        <f t="shared" si="50"/>
        <v>102.35169257925793</v>
      </c>
      <c r="BA69" s="33">
        <f t="shared" ca="1" si="49"/>
        <v>0.29709669421487606</v>
      </c>
      <c r="BB69" s="33">
        <f t="shared" ca="1" si="45"/>
        <v>4.9713085088180105</v>
      </c>
    </row>
    <row r="70" spans="2:54" x14ac:dyDescent="0.25">
      <c r="B70" s="18"/>
      <c r="D70" s="154">
        <v>42215</v>
      </c>
      <c r="E70" s="58">
        <v>0</v>
      </c>
      <c r="G70" s="18"/>
      <c r="L70" s="83">
        <f t="shared" si="11"/>
        <v>0</v>
      </c>
      <c r="M70" s="68"/>
      <c r="N70" s="62">
        <v>42215</v>
      </c>
      <c r="O70" s="37">
        <f t="shared" si="12"/>
        <v>0</v>
      </c>
      <c r="P70" s="85">
        <f t="shared" si="13"/>
        <v>0</v>
      </c>
      <c r="Q70" s="85">
        <f t="shared" si="14"/>
        <v>0</v>
      </c>
      <c r="R70" s="84">
        <f t="shared" si="27"/>
        <v>69094.574339053899</v>
      </c>
      <c r="S70" s="86">
        <f t="shared" si="15"/>
        <v>1.5861931666449471</v>
      </c>
      <c r="T70" s="85">
        <f t="shared" si="16"/>
        <v>101.31169257925792</v>
      </c>
      <c r="U70" s="88">
        <f>LOOKUP(N70,'weather data'!$B$7:$B$158,'weather data'!$C$7:$C$158)</f>
        <v>0</v>
      </c>
      <c r="V70" s="88">
        <f t="shared" si="17"/>
        <v>0</v>
      </c>
      <c r="W70" s="88">
        <f t="shared" si="28"/>
        <v>1.04</v>
      </c>
      <c r="X70" s="79">
        <f>LOOKUP(N70,'weather data'!$B$7:$B$158,'weather data'!$E$7:$E$158)</f>
        <v>0.27</v>
      </c>
      <c r="Y70" s="6">
        <v>1</v>
      </c>
      <c r="Z70" s="6">
        <v>60</v>
      </c>
      <c r="AA70" s="95">
        <f t="shared" si="46"/>
        <v>79.338842975206617</v>
      </c>
      <c r="AB70" s="94">
        <f ca="1">FORECAST(AA70,OFFSET(Soils!$K$41:$K$57,MATCH(AA70,Soils!$J$41:$J$57,1)-1,0,2),OFFSET(Soils!$J$41:$J$57,MATCH(AA70,Soils!$J$41:$J$57,1)-1,0,2))</f>
        <v>0.62404958677685951</v>
      </c>
      <c r="AC70" s="92">
        <f t="shared" ca="1" si="34"/>
        <v>1</v>
      </c>
      <c r="AD70" s="92">
        <f t="shared" ca="1" si="18"/>
        <v>0.62404958677685951</v>
      </c>
      <c r="AE70" s="87">
        <f t="shared" ca="1" si="19"/>
        <v>0.16849338842975209</v>
      </c>
      <c r="AF70" s="87">
        <f t="shared" ca="1" si="35"/>
        <v>0.16849338842975209</v>
      </c>
      <c r="AG70" s="87">
        <f t="shared" ca="1" si="36"/>
        <v>5.1398018972477653</v>
      </c>
      <c r="AH70" s="56">
        <f ca="1">FORECAST(AA70,OFFSET(Soils!$L$41:$L$57,MATCH(AA70,Soils!$J$41:$J$57,1)-1,0,2),OFFSET(Soils!$J$41:$J$57,MATCH(AA70,Soils!$J$41:$J$57,1)-1,0,2))</f>
        <v>0.65622734522256065</v>
      </c>
      <c r="AI70" s="27">
        <f t="shared" ca="1" si="3"/>
        <v>1.398397854139481</v>
      </c>
      <c r="AJ70" s="54"/>
      <c r="AK70" s="54">
        <f t="shared" ca="1" si="4"/>
        <v>1.5102696824706396</v>
      </c>
      <c r="AL70" s="54">
        <f t="shared" ca="1" si="21"/>
        <v>38.360849934754242</v>
      </c>
      <c r="AM70" s="27">
        <f t="shared" ca="1" si="37"/>
        <v>0.45308090474119189</v>
      </c>
      <c r="AN70" s="40">
        <f t="shared" ca="1" si="38"/>
        <v>1.0571887777294477</v>
      </c>
      <c r="AO70" s="27">
        <f t="shared" ca="1" si="39"/>
        <v>0</v>
      </c>
      <c r="AP70" s="27">
        <f t="shared" ca="1" si="47"/>
        <v>0.16849338842975209</v>
      </c>
      <c r="AQ70" s="27">
        <f t="shared" ca="1" si="40"/>
        <v>1.3417762940408875</v>
      </c>
      <c r="AR70" s="27">
        <f t="shared" ca="1" si="41"/>
        <v>1</v>
      </c>
      <c r="AS70" s="27">
        <f t="shared" ca="1" si="48"/>
        <v>0</v>
      </c>
      <c r="AT70" s="28">
        <f t="shared" ca="1" si="42"/>
        <v>97.380384070439916</v>
      </c>
      <c r="AU70" s="27">
        <f t="shared" ca="1" si="9"/>
        <v>0</v>
      </c>
      <c r="AV70" s="51">
        <f t="shared" ca="1" si="24"/>
        <v>0</v>
      </c>
      <c r="AW70" s="51">
        <f t="shared" ca="1" si="43"/>
        <v>96.83965125354635</v>
      </c>
      <c r="AX70" s="27">
        <f t="shared" ca="1" si="25"/>
        <v>0</v>
      </c>
      <c r="AY70" s="54">
        <f t="shared" ca="1" si="44"/>
        <v>0.54073281689356767</v>
      </c>
      <c r="AZ70" s="91">
        <f t="shared" si="50"/>
        <v>102.35169257925793</v>
      </c>
      <c r="BA70" s="33">
        <f t="shared" ca="1" si="49"/>
        <v>0</v>
      </c>
      <c r="BB70" s="33">
        <f t="shared" ca="1" si="45"/>
        <v>4.9713085088180105</v>
      </c>
    </row>
    <row r="71" spans="2:54" x14ac:dyDescent="0.25">
      <c r="B71" s="18"/>
      <c r="D71" s="154">
        <v>42216</v>
      </c>
      <c r="E71" s="58">
        <f>B30</f>
        <v>2941.5329999321875</v>
      </c>
      <c r="G71" s="18"/>
      <c r="L71" s="83">
        <f t="shared" si="11"/>
        <v>2941.5329999321875</v>
      </c>
      <c r="M71" s="68"/>
      <c r="N71" s="62">
        <v>42216</v>
      </c>
      <c r="O71" s="37">
        <f t="shared" si="12"/>
        <v>2941.5329999321875</v>
      </c>
      <c r="P71" s="85">
        <f t="shared" si="13"/>
        <v>4.3130982403697766</v>
      </c>
      <c r="Q71" s="85">
        <f t="shared" si="14"/>
        <v>109.55269530539232</v>
      </c>
      <c r="R71" s="84">
        <f t="shared" si="27"/>
        <v>72036.107338986083</v>
      </c>
      <c r="S71" s="86">
        <f t="shared" si="15"/>
        <v>1.6537214724285143</v>
      </c>
      <c r="T71" s="85">
        <f t="shared" si="16"/>
        <v>105.62479081962771</v>
      </c>
      <c r="U71" s="88">
        <f>LOOKUP(N71,'weather data'!$B$7:$B$158,'weather data'!$C$7:$C$158)</f>
        <v>0</v>
      </c>
      <c r="V71" s="88">
        <f t="shared" si="17"/>
        <v>0</v>
      </c>
      <c r="W71" s="88">
        <f t="shared" si="28"/>
        <v>1.04</v>
      </c>
      <c r="X71" s="79">
        <f>LOOKUP(N71,'weather data'!$B$7:$B$158,'weather data'!$E$7:$E$158)</f>
        <v>0.27</v>
      </c>
      <c r="Y71" s="6">
        <v>1</v>
      </c>
      <c r="Z71" s="6">
        <v>61</v>
      </c>
      <c r="AA71" s="95">
        <f t="shared" si="46"/>
        <v>80.661157024793383</v>
      </c>
      <c r="AB71" s="94">
        <f ca="1">FORECAST(AA71,OFFSET(Soils!$K$41:$K$57,MATCH(AA71,Soils!$J$41:$J$57,1)-1,0,2),OFFSET(Soils!$J$41:$J$57,MATCH(AA71,Soils!$J$41:$J$57,1)-1,0,2))</f>
        <v>0.6359504132231405</v>
      </c>
      <c r="AC71" s="92">
        <f t="shared" ca="1" si="34"/>
        <v>1</v>
      </c>
      <c r="AD71" s="92">
        <f t="shared" ca="1" si="18"/>
        <v>0.6359504132231405</v>
      </c>
      <c r="AE71" s="87">
        <f t="shared" ca="1" si="19"/>
        <v>0.17170661157024794</v>
      </c>
      <c r="AF71" s="87">
        <f t="shared" ca="1" si="35"/>
        <v>0.17170661157024794</v>
      </c>
      <c r="AG71" s="87">
        <f t="shared" ca="1" si="36"/>
        <v>5.3115085088180134</v>
      </c>
      <c r="AH71" s="56">
        <f ca="1">FORECAST(AA71,OFFSET(Soils!$L$41:$L$57,MATCH(AA71,Soils!$J$41:$J$57,1)-1,0,2),OFFSET(Soils!$J$41:$J$57,MATCH(AA71,Soils!$J$41:$J$57,1)-1,0,2))</f>
        <v>0.67710598811077283</v>
      </c>
      <c r="AI71" s="27">
        <f t="shared" ca="1" si="3"/>
        <v>1.4349354791938524</v>
      </c>
      <c r="AJ71" s="54"/>
      <c r="AK71" s="54">
        <f t="shared" ca="1" si="4"/>
        <v>1.5497303175293606</v>
      </c>
      <c r="AL71" s="54">
        <f t="shared" ca="1" si="21"/>
        <v>39.363150065245755</v>
      </c>
      <c r="AM71" s="27">
        <f t="shared" ca="1" si="37"/>
        <v>0.46491909525880815</v>
      </c>
      <c r="AN71" s="40">
        <f t="shared" ca="1" si="38"/>
        <v>1.0848112222705524</v>
      </c>
      <c r="AO71" s="27">
        <f t="shared" ca="1" si="39"/>
        <v>0.16849338842975209</v>
      </c>
      <c r="AP71" s="27">
        <f t="shared" ca="1" si="47"/>
        <v>0</v>
      </c>
      <c r="AQ71" s="27">
        <f t="shared" ca="1" si="40"/>
        <v>1.5497303175293606</v>
      </c>
      <c r="AR71" s="27">
        <f t="shared" ca="1" si="41"/>
        <v>1</v>
      </c>
      <c r="AS71" s="27">
        <f t="shared" ca="1" si="48"/>
        <v>3.9728982403697763</v>
      </c>
      <c r="AT71" s="28">
        <f t="shared" ca="1" si="42"/>
        <v>101.35328231080969</v>
      </c>
      <c r="AU71" s="27">
        <f t="shared" ca="1" si="9"/>
        <v>3.9728982403697763</v>
      </c>
      <c r="AV71" s="51">
        <f t="shared" ca="1" si="24"/>
        <v>100.91161530539232</v>
      </c>
      <c r="AW71" s="51">
        <f t="shared" ca="1" si="43"/>
        <v>100.81254949391612</v>
      </c>
      <c r="AX71" s="27">
        <f t="shared" ca="1" si="25"/>
        <v>0</v>
      </c>
      <c r="AY71" s="54">
        <f t="shared" ca="1" si="44"/>
        <v>0.54073281689356767</v>
      </c>
      <c r="AZ71" s="91">
        <f t="shared" si="50"/>
        <v>106.66479081962771</v>
      </c>
      <c r="BA71" s="33">
        <f t="shared" ca="1" si="49"/>
        <v>0.34020000000000028</v>
      </c>
      <c r="BB71" s="33">
        <f t="shared" ca="1" si="45"/>
        <v>5.3115085088180107</v>
      </c>
    </row>
    <row r="72" spans="2:54" x14ac:dyDescent="0.25">
      <c r="B72" s="18"/>
      <c r="D72" s="154">
        <v>42217</v>
      </c>
      <c r="E72" s="58">
        <v>0</v>
      </c>
      <c r="G72" s="18"/>
      <c r="L72" s="83">
        <f t="shared" si="11"/>
        <v>0</v>
      </c>
      <c r="M72" s="68"/>
      <c r="N72" s="62">
        <v>42217</v>
      </c>
      <c r="O72" s="37">
        <f t="shared" si="12"/>
        <v>0</v>
      </c>
      <c r="P72" s="85">
        <f t="shared" si="13"/>
        <v>0</v>
      </c>
      <c r="Q72" s="85">
        <f t="shared" si="14"/>
        <v>0</v>
      </c>
      <c r="R72" s="84">
        <f t="shared" si="27"/>
        <v>72036.107338986083</v>
      </c>
      <c r="S72" s="86">
        <f t="shared" si="15"/>
        <v>1.6537214724285143</v>
      </c>
      <c r="T72" s="85">
        <f t="shared" si="16"/>
        <v>105.62479081962771</v>
      </c>
      <c r="U72" s="88">
        <f>LOOKUP(N72,'weather data'!$B$7:$B$158,'weather data'!$C$7:$C$158)</f>
        <v>0</v>
      </c>
      <c r="V72" s="88">
        <f t="shared" si="17"/>
        <v>0</v>
      </c>
      <c r="W72" s="88">
        <f t="shared" si="28"/>
        <v>1.04</v>
      </c>
      <c r="X72" s="79">
        <f>LOOKUP(N72,'weather data'!$B$7:$B$158,'weather data'!$E$7:$E$158)</f>
        <v>0.26</v>
      </c>
      <c r="Y72" s="6">
        <v>1</v>
      </c>
      <c r="Z72" s="6">
        <v>62</v>
      </c>
      <c r="AA72" s="95">
        <f t="shared" si="46"/>
        <v>81.983471074380162</v>
      </c>
      <c r="AB72" s="94">
        <f ca="1">FORECAST(AA72,OFFSET(Soils!$K$41:$K$57,MATCH(AA72,Soils!$J$41:$J$57,1)-1,0,2),OFFSET(Soils!$J$41:$J$57,MATCH(AA72,Soils!$J$41:$J$57,1)-1,0,2))</f>
        <v>0.64785123966942149</v>
      </c>
      <c r="AC72" s="92">
        <f t="shared" ca="1" si="34"/>
        <v>1</v>
      </c>
      <c r="AD72" s="92">
        <f t="shared" ca="1" si="18"/>
        <v>0.64785123966942149</v>
      </c>
      <c r="AE72" s="87">
        <f t="shared" ca="1" si="19"/>
        <v>0.1684413223140496</v>
      </c>
      <c r="AF72" s="87">
        <f t="shared" ca="1" si="35"/>
        <v>0.1684413223140496</v>
      </c>
      <c r="AG72" s="87">
        <f t="shared" ca="1" si="36"/>
        <v>5.4799498311320631</v>
      </c>
      <c r="AH72" s="56">
        <f ca="1">FORECAST(AA72,OFFSET(Soils!$L$41:$L$57,MATCH(AA72,Soils!$J$41:$J$57,1)-1,0,2),OFFSET(Soils!$J$41:$J$57,MATCH(AA72,Soils!$J$41:$J$57,1)-1,0,2))</f>
        <v>0.697984630998985</v>
      </c>
      <c r="AI72" s="27">
        <f t="shared" ca="1" si="3"/>
        <v>1.4714731042482239</v>
      </c>
      <c r="AJ72" s="54"/>
      <c r="AK72" s="54">
        <f t="shared" ca="1" si="4"/>
        <v>1.5891909525880819</v>
      </c>
      <c r="AL72" s="54">
        <f t="shared" ca="1" si="21"/>
        <v>40.365450195737274</v>
      </c>
      <c r="AM72" s="27">
        <f t="shared" ca="1" si="37"/>
        <v>0.47675728577642451</v>
      </c>
      <c r="AN72" s="40">
        <f t="shared" ca="1" si="38"/>
        <v>1.1124336668116572</v>
      </c>
      <c r="AO72" s="27">
        <f t="shared" ca="1" si="39"/>
        <v>0</v>
      </c>
      <c r="AP72" s="27">
        <f t="shared" ca="1" si="47"/>
        <v>0.1684413223140496</v>
      </c>
      <c r="AQ72" s="27">
        <f t="shared" ca="1" si="40"/>
        <v>1.4207496302740323</v>
      </c>
      <c r="AR72" s="27">
        <f t="shared" ca="1" si="41"/>
        <v>1</v>
      </c>
      <c r="AS72" s="27">
        <f t="shared" ca="1" si="48"/>
        <v>0</v>
      </c>
      <c r="AT72" s="28">
        <f t="shared" ca="1" si="42"/>
        <v>101.35328231080969</v>
      </c>
      <c r="AU72" s="27">
        <f t="shared" ca="1" si="9"/>
        <v>0</v>
      </c>
      <c r="AV72" s="51">
        <f t="shared" ca="1" si="24"/>
        <v>0</v>
      </c>
      <c r="AW72" s="51">
        <f t="shared" ca="1" si="43"/>
        <v>100.81254949391612</v>
      </c>
      <c r="AX72" s="27">
        <f t="shared" ca="1" si="25"/>
        <v>0</v>
      </c>
      <c r="AY72" s="54">
        <f t="shared" ca="1" si="44"/>
        <v>0.54073281689356767</v>
      </c>
      <c r="AZ72" s="91">
        <f t="shared" si="50"/>
        <v>106.66479081962771</v>
      </c>
      <c r="BA72" s="33">
        <f t="shared" ca="1" si="49"/>
        <v>0</v>
      </c>
      <c r="BB72" s="33">
        <f t="shared" ca="1" si="45"/>
        <v>5.3115085088180107</v>
      </c>
    </row>
    <row r="73" spans="2:54" x14ac:dyDescent="0.25">
      <c r="B73" s="18"/>
      <c r="D73" s="154">
        <v>42218</v>
      </c>
      <c r="E73" s="58">
        <v>0</v>
      </c>
      <c r="G73" s="18"/>
      <c r="L73" s="83">
        <f t="shared" si="11"/>
        <v>0</v>
      </c>
      <c r="M73" s="68"/>
      <c r="N73" s="62">
        <v>42218</v>
      </c>
      <c r="O73" s="37">
        <f t="shared" si="12"/>
        <v>0</v>
      </c>
      <c r="P73" s="85">
        <f t="shared" si="13"/>
        <v>0</v>
      </c>
      <c r="Q73" s="85">
        <f t="shared" si="14"/>
        <v>0</v>
      </c>
      <c r="R73" s="84">
        <f t="shared" si="27"/>
        <v>72036.107338986083</v>
      </c>
      <c r="S73" s="86">
        <f t="shared" si="15"/>
        <v>1.6537214724285143</v>
      </c>
      <c r="T73" s="85">
        <f t="shared" si="16"/>
        <v>105.62479081962771</v>
      </c>
      <c r="U73" s="88">
        <f>LOOKUP(N73,'weather data'!$B$7:$B$158,'weather data'!$C$7:$C$158)</f>
        <v>0</v>
      </c>
      <c r="V73" s="88">
        <f t="shared" si="17"/>
        <v>0</v>
      </c>
      <c r="W73" s="88">
        <f t="shared" si="28"/>
        <v>1.04</v>
      </c>
      <c r="X73" s="79">
        <f>LOOKUP(N73,'weather data'!$B$7:$B$158,'weather data'!$E$7:$E$158)</f>
        <v>0.31</v>
      </c>
      <c r="Y73" s="6">
        <v>1</v>
      </c>
      <c r="Z73" s="6">
        <v>63</v>
      </c>
      <c r="AA73" s="95">
        <f t="shared" si="46"/>
        <v>83.305785123966942</v>
      </c>
      <c r="AB73" s="94">
        <f ca="1">FORECAST(AA73,OFFSET(Soils!$K$41:$K$57,MATCH(AA73,Soils!$J$41:$J$57,1)-1,0,2),OFFSET(Soils!$J$41:$J$57,MATCH(AA73,Soils!$J$41:$J$57,1)-1,0,2))</f>
        <v>0.65975206611570247</v>
      </c>
      <c r="AC73" s="92">
        <f t="shared" ca="1" si="34"/>
        <v>1</v>
      </c>
      <c r="AD73" s="92">
        <f t="shared" ca="1" si="18"/>
        <v>0.65975206611570247</v>
      </c>
      <c r="AE73" s="87">
        <f t="shared" ca="1" si="19"/>
        <v>0.20452314049586776</v>
      </c>
      <c r="AF73" s="87">
        <f t="shared" ca="1" si="35"/>
        <v>0.20452314049586776</v>
      </c>
      <c r="AG73" s="87">
        <f t="shared" ca="1" si="36"/>
        <v>5.6844729716279305</v>
      </c>
      <c r="AH73" s="56">
        <f ca="1">FORECAST(AA73,OFFSET(Soils!$L$41:$L$57,MATCH(AA73,Soils!$J$41:$J$57,1)-1,0,2),OFFSET(Soils!$J$41:$J$57,MATCH(AA73,Soils!$J$41:$J$57,1)-1,0,2))</f>
        <v>0.7188632738871974</v>
      </c>
      <c r="AI73" s="27">
        <f t="shared" ca="1" si="3"/>
        <v>1.5080107293025955</v>
      </c>
      <c r="AJ73" s="54"/>
      <c r="AK73" s="54">
        <f t="shared" ca="1" si="4"/>
        <v>1.6286515876468033</v>
      </c>
      <c r="AL73" s="54">
        <f t="shared" ca="1" si="21"/>
        <v>41.367750326228801</v>
      </c>
      <c r="AM73" s="27">
        <f t="shared" ca="1" si="37"/>
        <v>0.48859547629404099</v>
      </c>
      <c r="AN73" s="40">
        <f t="shared" ca="1" si="38"/>
        <v>1.1400561113527623</v>
      </c>
      <c r="AO73" s="27">
        <f t="shared" ca="1" si="39"/>
        <v>0.1684413223140496</v>
      </c>
      <c r="AP73" s="27">
        <f t="shared" ca="1" si="47"/>
        <v>0.37296446280991735</v>
      </c>
      <c r="AQ73" s="27">
        <f t="shared" ca="1" si="40"/>
        <v>1.2556871248368859</v>
      </c>
      <c r="AR73" s="27">
        <f t="shared" ca="1" si="41"/>
        <v>1</v>
      </c>
      <c r="AS73" s="27">
        <f t="shared" ca="1" si="48"/>
        <v>0</v>
      </c>
      <c r="AT73" s="28">
        <f t="shared" ca="1" si="42"/>
        <v>101.35328231080969</v>
      </c>
      <c r="AU73" s="27">
        <f t="shared" ca="1" si="9"/>
        <v>0</v>
      </c>
      <c r="AV73" s="51">
        <f t="shared" ca="1" si="24"/>
        <v>0</v>
      </c>
      <c r="AW73" s="51">
        <f t="shared" ca="1" si="43"/>
        <v>100.81254949391612</v>
      </c>
      <c r="AX73" s="27">
        <f t="shared" ca="1" si="25"/>
        <v>0</v>
      </c>
      <c r="AY73" s="54">
        <f t="shared" ca="1" si="44"/>
        <v>0.54073281689356767</v>
      </c>
      <c r="AZ73" s="91">
        <f t="shared" si="50"/>
        <v>106.66479081962771</v>
      </c>
      <c r="BA73" s="33">
        <f t="shared" ca="1" si="49"/>
        <v>0</v>
      </c>
      <c r="BB73" s="33">
        <f t="shared" ca="1" si="45"/>
        <v>5.3115085088180107</v>
      </c>
    </row>
    <row r="74" spans="2:54" x14ac:dyDescent="0.25">
      <c r="B74" s="18"/>
      <c r="D74" s="154">
        <v>42219</v>
      </c>
      <c r="E74" s="58">
        <v>0</v>
      </c>
      <c r="G74" s="18"/>
      <c r="L74" s="83">
        <f t="shared" si="11"/>
        <v>0</v>
      </c>
      <c r="M74" s="68"/>
      <c r="N74" s="62">
        <v>42219</v>
      </c>
      <c r="O74" s="37">
        <f t="shared" si="12"/>
        <v>0</v>
      </c>
      <c r="P74" s="85">
        <f t="shared" si="13"/>
        <v>0</v>
      </c>
      <c r="Q74" s="85">
        <f t="shared" si="14"/>
        <v>0</v>
      </c>
      <c r="R74" s="84">
        <f t="shared" si="27"/>
        <v>72036.107338986083</v>
      </c>
      <c r="S74" s="86">
        <f t="shared" si="15"/>
        <v>1.6537214724285143</v>
      </c>
      <c r="T74" s="85">
        <f t="shared" si="16"/>
        <v>105.62479081962771</v>
      </c>
      <c r="U74" s="88">
        <f>LOOKUP(N74,'weather data'!$B$7:$B$158,'weather data'!$C$7:$C$158)</f>
        <v>0.48</v>
      </c>
      <c r="V74" s="88">
        <f t="shared" si="17"/>
        <v>0.38400000000000001</v>
      </c>
      <c r="W74" s="88">
        <f t="shared" si="28"/>
        <v>1.4239999999999999</v>
      </c>
      <c r="X74" s="79">
        <f>LOOKUP(N74,'weather data'!$B$7:$B$158,'weather data'!$E$7:$E$158)</f>
        <v>7.0000000000000007E-2</v>
      </c>
      <c r="Y74" s="6">
        <v>1</v>
      </c>
      <c r="Z74" s="6">
        <v>64</v>
      </c>
      <c r="AA74" s="95">
        <f t="shared" si="46"/>
        <v>84.628099173553721</v>
      </c>
      <c r="AB74" s="94">
        <f ca="1">FORECAST(AA74,OFFSET(Soils!$K$41:$K$57,MATCH(AA74,Soils!$J$41:$J$57,1)-1,0,2),OFFSET(Soils!$J$41:$J$57,MATCH(AA74,Soils!$J$41:$J$57,1)-1,0,2))</f>
        <v>0.67165289256198357</v>
      </c>
      <c r="AC74" s="92">
        <f t="shared" ca="1" si="34"/>
        <v>1</v>
      </c>
      <c r="AD74" s="92">
        <f t="shared" ca="1" si="18"/>
        <v>0.67165289256198357</v>
      </c>
      <c r="AE74" s="87">
        <f t="shared" ca="1" si="19"/>
        <v>4.7015702479338853E-2</v>
      </c>
      <c r="AF74" s="87">
        <f t="shared" ca="1" si="35"/>
        <v>4.7015702479338853E-2</v>
      </c>
      <c r="AG74" s="87">
        <f t="shared" ca="1" si="36"/>
        <v>5.7314886741072693</v>
      </c>
      <c r="AH74" s="56">
        <f ca="1">FORECAST(AA74,OFFSET(Soils!$L$41:$L$57,MATCH(AA74,Soils!$J$41:$J$57,1)-1,0,2),OFFSET(Soils!$J$41:$J$57,MATCH(AA74,Soils!$J$41:$J$57,1)-1,0,2))</f>
        <v>0.73974191677540957</v>
      </c>
      <c r="AI74" s="27">
        <f t="shared" ca="1" si="3"/>
        <v>1.5445483543569667</v>
      </c>
      <c r="AJ74" s="54"/>
      <c r="AK74" s="54">
        <f t="shared" ca="1" si="4"/>
        <v>1.6681122227055241</v>
      </c>
      <c r="AL74" s="54">
        <f t="shared" ca="1" si="21"/>
        <v>42.370050456720307</v>
      </c>
      <c r="AM74" s="27">
        <f t="shared" ca="1" si="37"/>
        <v>0.50043366681165724</v>
      </c>
      <c r="AN74" s="40">
        <f t="shared" ca="1" si="38"/>
        <v>1.1676785558938669</v>
      </c>
      <c r="AO74" s="27">
        <f t="shared" ca="1" si="39"/>
        <v>0.37296446280991735</v>
      </c>
      <c r="AP74" s="27">
        <f t="shared" ca="1" si="47"/>
        <v>3.5980165289256183E-2</v>
      </c>
      <c r="AQ74" s="27">
        <f t="shared" ca="1" si="40"/>
        <v>1.6321320574162679</v>
      </c>
      <c r="AR74" s="27">
        <f t="shared" ca="1" si="41"/>
        <v>1</v>
      </c>
      <c r="AS74" s="27">
        <f t="shared" ca="1" si="48"/>
        <v>0</v>
      </c>
      <c r="AT74" s="28">
        <f t="shared" ca="1" si="42"/>
        <v>101.35328231080969</v>
      </c>
      <c r="AU74" s="27">
        <f t="shared" ca="1" si="9"/>
        <v>0</v>
      </c>
      <c r="AV74" s="51">
        <f t="shared" ca="1" si="24"/>
        <v>0</v>
      </c>
      <c r="AW74" s="51">
        <f t="shared" ca="1" si="43"/>
        <v>100.81254949391612</v>
      </c>
      <c r="AX74" s="27">
        <f t="shared" ca="1" si="25"/>
        <v>0</v>
      </c>
      <c r="AY74" s="54">
        <f t="shared" ca="1" si="44"/>
        <v>0.54073281689356767</v>
      </c>
      <c r="AZ74" s="91">
        <f t="shared" si="50"/>
        <v>107.04879081962771</v>
      </c>
      <c r="BA74" s="33">
        <f t="shared" ca="1" si="49"/>
        <v>0.38400000000000001</v>
      </c>
      <c r="BB74" s="33">
        <f t="shared" ca="1" si="45"/>
        <v>5.6955085088180111</v>
      </c>
    </row>
    <row r="75" spans="2:54" x14ac:dyDescent="0.25">
      <c r="B75" s="18"/>
      <c r="D75" s="154">
        <v>42220</v>
      </c>
      <c r="E75" s="58">
        <v>0</v>
      </c>
      <c r="G75" s="18"/>
      <c r="L75" s="83">
        <f t="shared" si="11"/>
        <v>0</v>
      </c>
      <c r="M75" s="68"/>
      <c r="N75" s="62">
        <v>42220</v>
      </c>
      <c r="O75" s="37">
        <f t="shared" si="12"/>
        <v>0</v>
      </c>
      <c r="P75" s="85">
        <f t="shared" si="13"/>
        <v>0</v>
      </c>
      <c r="Q75" s="85">
        <f t="shared" si="14"/>
        <v>0</v>
      </c>
      <c r="R75" s="84">
        <f t="shared" si="27"/>
        <v>72036.107338986083</v>
      </c>
      <c r="S75" s="86">
        <f t="shared" si="15"/>
        <v>1.6537214724285143</v>
      </c>
      <c r="T75" s="85">
        <f t="shared" si="16"/>
        <v>105.62479081962771</v>
      </c>
      <c r="U75" s="88">
        <f>LOOKUP(N75,'weather data'!$B$7:$B$158,'weather data'!$C$7:$C$158)</f>
        <v>0</v>
      </c>
      <c r="V75" s="88">
        <f t="shared" si="17"/>
        <v>0</v>
      </c>
      <c r="W75" s="88">
        <f t="shared" si="28"/>
        <v>1.4239999999999999</v>
      </c>
      <c r="X75" s="79">
        <f>LOOKUP(N75,'weather data'!$B$7:$B$158,'weather data'!$E$7:$E$158)</f>
        <v>0.23</v>
      </c>
      <c r="Y75" s="6">
        <v>1</v>
      </c>
      <c r="Z75" s="6">
        <v>65</v>
      </c>
      <c r="AA75" s="95">
        <f t="shared" ref="AA75:AA106" si="51">Z75*160/$Z$131</f>
        <v>85.950413223140501</v>
      </c>
      <c r="AB75" s="94">
        <f ca="1">FORECAST(AA75,OFFSET(Soils!$K$41:$K$57,MATCH(AA75,Soils!$J$41:$J$57,1)-1,0,2),OFFSET(Soils!$J$41:$J$57,MATCH(AA75,Soils!$J$41:$J$57,1)-1,0,2))</f>
        <v>0.68355371900826456</v>
      </c>
      <c r="AC75" s="92">
        <f t="shared" ca="1" si="34"/>
        <v>1</v>
      </c>
      <c r="AD75" s="92">
        <f t="shared" ca="1" si="18"/>
        <v>0.68355371900826456</v>
      </c>
      <c r="AE75" s="87">
        <f t="shared" ca="1" si="19"/>
        <v>0.15721735537190085</v>
      </c>
      <c r="AF75" s="87">
        <f t="shared" ca="1" si="35"/>
        <v>0.15721735537190085</v>
      </c>
      <c r="AG75" s="87">
        <f t="shared" ca="1" si="36"/>
        <v>5.8887060294791702</v>
      </c>
      <c r="AH75" s="56">
        <f ca="1">FORECAST(AA75,OFFSET(Soils!$L$41:$L$57,MATCH(AA75,Soils!$J$41:$J$57,1)-1,0,2),OFFSET(Soils!$J$41:$J$57,MATCH(AA75,Soils!$J$41:$J$57,1)-1,0,2))</f>
        <v>0.76062055966362196</v>
      </c>
      <c r="AI75" s="27">
        <f t="shared" ref="AI75:AI93" ca="1" si="52">IF(AH75*($F$3-$F$2)+$F$2&lt;$F$3,AH75*($F$3-$F$2)+$F$2,$F$3)</f>
        <v>1.5810859794113385</v>
      </c>
      <c r="AJ75" s="54"/>
      <c r="AK75" s="54">
        <f t="shared" ref="AK75:AK127" ca="1" si="53">AI75*$B$3</f>
        <v>1.7075728577642457</v>
      </c>
      <c r="AL75" s="54">
        <f t="shared" ca="1" si="21"/>
        <v>43.372350587211841</v>
      </c>
      <c r="AM75" s="27">
        <f t="shared" ca="1" si="37"/>
        <v>0.51227185732927372</v>
      </c>
      <c r="AN75" s="40">
        <f t="shared" ca="1" si="38"/>
        <v>1.195301000434972</v>
      </c>
      <c r="AO75" s="27">
        <f t="shared" ca="1" si="39"/>
        <v>3.5980165289256183E-2</v>
      </c>
      <c r="AP75" s="27">
        <f t="shared" ref="AP75:AP106" ca="1" si="54">IF(AO75+AF75-P75-V75&lt;0,0,AO75+AF75-P75-V75)</f>
        <v>0.19319752066115703</v>
      </c>
      <c r="AQ75" s="27">
        <f t="shared" ca="1" si="40"/>
        <v>1.5143753371030888</v>
      </c>
      <c r="AR75" s="27">
        <f t="shared" ca="1" si="41"/>
        <v>1</v>
      </c>
      <c r="AS75" s="27">
        <f t="shared" ref="AS75:AS106" ca="1" si="55">IF(P75+V75-AF75&gt;AO75,P75+V75-AF75-AO75,0)</f>
        <v>0</v>
      </c>
      <c r="AT75" s="28">
        <f t="shared" ca="1" si="42"/>
        <v>101.35328231080969</v>
      </c>
      <c r="AU75" s="27">
        <f t="shared" ca="1" si="9"/>
        <v>0</v>
      </c>
      <c r="AV75" s="51">
        <f t="shared" ca="1" si="24"/>
        <v>0</v>
      </c>
      <c r="AW75" s="51">
        <f t="shared" ca="1" si="43"/>
        <v>100.81254949391612</v>
      </c>
      <c r="AX75" s="27">
        <f t="shared" ca="1" si="25"/>
        <v>0</v>
      </c>
      <c r="AY75" s="54">
        <f t="shared" ca="1" si="44"/>
        <v>0.54073281689356767</v>
      </c>
      <c r="AZ75" s="91">
        <f t="shared" si="50"/>
        <v>107.04879081962771</v>
      </c>
      <c r="BA75" s="33">
        <f t="shared" ref="BA75:BA106" ca="1" si="56">P75+V75-AS75</f>
        <v>0</v>
      </c>
      <c r="BB75" s="33">
        <f t="shared" ca="1" si="45"/>
        <v>5.6955085088180111</v>
      </c>
    </row>
    <row r="76" spans="2:54" x14ac:dyDescent="0.25">
      <c r="B76" s="18"/>
      <c r="D76" s="154">
        <v>42221</v>
      </c>
      <c r="E76" s="58">
        <f>B31</f>
        <v>2812.6839775335679</v>
      </c>
      <c r="G76" s="18"/>
      <c r="L76" s="83">
        <f t="shared" ref="L76:L131" si="57">E76</f>
        <v>2812.6839775335679</v>
      </c>
      <c r="M76" s="68"/>
      <c r="N76" s="62">
        <v>42221</v>
      </c>
      <c r="O76" s="37">
        <f t="shared" ref="O76:O127" si="58">L76</f>
        <v>2812.6839775335679</v>
      </c>
      <c r="P76" s="85">
        <f t="shared" ref="P76:P127" si="59">(O76/$D$2)*12</f>
        <v>4.1241700550345568</v>
      </c>
      <c r="Q76" s="85">
        <f t="shared" ref="Q76:Q131" si="60">P76*25.4</f>
        <v>104.75391939787774</v>
      </c>
      <c r="R76" s="84">
        <f t="shared" si="27"/>
        <v>74848.791316519651</v>
      </c>
      <c r="S76" s="86">
        <f t="shared" ref="S76:S127" si="61">R76/43560</f>
        <v>1.7182918116740049</v>
      </c>
      <c r="T76" s="85">
        <f t="shared" ref="T76:T127" si="62">(S76*12)/$D$3</f>
        <v>109.74896087466225</v>
      </c>
      <c r="U76" s="88">
        <f>LOOKUP(N76,'weather data'!$B$7:$B$158,'weather data'!$C$7:$C$158)</f>
        <v>0</v>
      </c>
      <c r="V76" s="88">
        <f t="shared" ref="V76:V127" si="63">IF(U76&lt;0.05,0,0.8*U76)</f>
        <v>0</v>
      </c>
      <c r="W76" s="88">
        <f t="shared" si="28"/>
        <v>1.4239999999999999</v>
      </c>
      <c r="X76" s="79">
        <f>LOOKUP(N76,'weather data'!$B$7:$B$158,'weather data'!$E$7:$E$158)</f>
        <v>0.25</v>
      </c>
      <c r="Y76" s="6">
        <v>1</v>
      </c>
      <c r="Z76" s="6">
        <v>66</v>
      </c>
      <c r="AA76" s="95">
        <f t="shared" si="51"/>
        <v>87.272727272727266</v>
      </c>
      <c r="AB76" s="94">
        <f ca="1">FORECAST(AA76,OFFSET(Soils!$K$41:$K$57,MATCH(AA76,Soils!$J$41:$J$57,1)-1,0,2),OFFSET(Soils!$J$41:$J$57,MATCH(AA76,Soils!$J$41:$J$57,1)-1,0,2))</f>
        <v>0.69545454545454544</v>
      </c>
      <c r="AC76" s="92">
        <f t="shared" ca="1" si="34"/>
        <v>1</v>
      </c>
      <c r="AD76" s="92">
        <f t="shared" ref="AD76:AD127" ca="1" si="64">AB76*AC76</f>
        <v>0.69545454545454544</v>
      </c>
      <c r="AE76" s="87">
        <f t="shared" ref="AE76:AE127" ca="1" si="65">X76*AB76</f>
        <v>0.17386363636363636</v>
      </c>
      <c r="AF76" s="87">
        <f t="shared" ca="1" si="35"/>
        <v>0.17386363636363636</v>
      </c>
      <c r="AG76" s="87">
        <f t="shared" ca="1" si="36"/>
        <v>6.0625696658428065</v>
      </c>
      <c r="AH76" s="56">
        <f ca="1">FORECAST(AA76,OFFSET(Soils!$L$41:$L$57,MATCH(AA76,Soils!$J$41:$J$57,1)-1,0,2),OFFSET(Soils!$J$41:$J$57,MATCH(AA76,Soils!$J$41:$J$57,1)-1,0,2))</f>
        <v>0.78149920255183414</v>
      </c>
      <c r="AI76" s="27">
        <f t="shared" ca="1" si="52"/>
        <v>1.6176236044657097</v>
      </c>
      <c r="AJ76" s="54"/>
      <c r="AK76" s="54">
        <f t="shared" ca="1" si="53"/>
        <v>1.7470334928229667</v>
      </c>
      <c r="AL76" s="54">
        <f t="shared" ref="AL76:AL131" ca="1" si="66">AK76*25.4</f>
        <v>44.374650717703354</v>
      </c>
      <c r="AM76" s="27">
        <f t="shared" ca="1" si="37"/>
        <v>0.52411004784688997</v>
      </c>
      <c r="AN76" s="40">
        <f t="shared" ca="1" si="38"/>
        <v>1.2229234449760766</v>
      </c>
      <c r="AO76" s="27">
        <f t="shared" ca="1" si="39"/>
        <v>0.19319752066115703</v>
      </c>
      <c r="AP76" s="27">
        <f t="shared" ca="1" si="54"/>
        <v>0</v>
      </c>
      <c r="AQ76" s="27">
        <f t="shared" ca="1" si="40"/>
        <v>1.7470334928229667</v>
      </c>
      <c r="AR76" s="27">
        <f t="shared" ca="1" si="41"/>
        <v>1</v>
      </c>
      <c r="AS76" s="27">
        <f t="shared" ca="1" si="55"/>
        <v>3.7571088980097636</v>
      </c>
      <c r="AT76" s="28">
        <f t="shared" ca="1" si="42"/>
        <v>105.11039120881945</v>
      </c>
      <c r="AU76" s="27">
        <f t="shared" ref="AU76:AU127" ca="1" si="67">IF(AND(P76&lt;&gt;0,AS76&lt;&gt;0,V76&lt;&gt;0),P76*AS76/(P76+V76),IF(AND(P76&lt;&gt;0,AS76&lt;&gt;0),AS76,0))</f>
        <v>3.7571088980097636</v>
      </c>
      <c r="AV76" s="51">
        <f t="shared" ref="AV76:AV131" ca="1" si="68">AU76*25.4</f>
        <v>95.430566009447986</v>
      </c>
      <c r="AW76" s="51">
        <f t="shared" ca="1" si="43"/>
        <v>104.56965839192588</v>
      </c>
      <c r="AX76" s="27">
        <f t="shared" ref="AX76:AX127" ca="1" si="69">IF(AND(P76&lt;&gt;0,AS76&lt;&gt;0,V76&lt;&gt;0),V76*AS76/(P76+V76),IF(AND(V76&lt;&gt;0,AS76&lt;&gt;0),AS76,0))</f>
        <v>0</v>
      </c>
      <c r="AY76" s="54">
        <f t="shared" ca="1" si="44"/>
        <v>0.54073281689356767</v>
      </c>
      <c r="AZ76" s="91">
        <f t="shared" ref="AZ76:AZ107" si="70">P76+V76+AZ75</f>
        <v>111.17296087466227</v>
      </c>
      <c r="BA76" s="33">
        <f t="shared" ca="1" si="56"/>
        <v>0.36706115702479325</v>
      </c>
      <c r="BB76" s="33">
        <f t="shared" ca="1" si="45"/>
        <v>6.0625696658428048</v>
      </c>
    </row>
    <row r="77" spans="2:54" x14ac:dyDescent="0.25">
      <c r="B77" s="18"/>
      <c r="D77" s="154">
        <v>42222</v>
      </c>
      <c r="E77" s="58">
        <v>0</v>
      </c>
      <c r="G77" s="18"/>
      <c r="L77" s="83">
        <f t="shared" si="57"/>
        <v>0</v>
      </c>
      <c r="M77" s="68"/>
      <c r="N77" s="62">
        <v>42222</v>
      </c>
      <c r="O77" s="37">
        <f t="shared" si="58"/>
        <v>0</v>
      </c>
      <c r="P77" s="85">
        <f t="shared" si="59"/>
        <v>0</v>
      </c>
      <c r="Q77" s="85">
        <f t="shared" si="60"/>
        <v>0</v>
      </c>
      <c r="R77" s="84">
        <f t="shared" ref="R77:R127" si="71">O77+R76</f>
        <v>74848.791316519651</v>
      </c>
      <c r="S77" s="86">
        <f t="shared" si="61"/>
        <v>1.7182918116740049</v>
      </c>
      <c r="T77" s="85">
        <f t="shared" si="62"/>
        <v>109.74896087466225</v>
      </c>
      <c r="U77" s="88">
        <f>LOOKUP(N77,'weather data'!$B$7:$B$158,'weather data'!$C$7:$C$158)</f>
        <v>0</v>
      </c>
      <c r="V77" s="88">
        <f t="shared" si="63"/>
        <v>0</v>
      </c>
      <c r="W77" s="88">
        <f t="shared" ref="W77:W127" si="72">V77+W76</f>
        <v>1.4239999999999999</v>
      </c>
      <c r="X77" s="79">
        <f>LOOKUP(N77,'weather data'!$B$7:$B$158,'weather data'!$E$7:$E$158)</f>
        <v>0.24</v>
      </c>
      <c r="Y77" s="6">
        <v>1</v>
      </c>
      <c r="Z77" s="6">
        <v>67</v>
      </c>
      <c r="AA77" s="95">
        <f t="shared" si="51"/>
        <v>88.595041322314046</v>
      </c>
      <c r="AB77" s="94">
        <f ca="1">FORECAST(AA77,OFFSET(Soils!$K$41:$K$57,MATCH(AA77,Soils!$J$41:$J$57,1)-1,0,2),OFFSET(Soils!$J$41:$J$57,MATCH(AA77,Soils!$J$41:$J$57,1)-1,0,2))</f>
        <v>0.70735537190082642</v>
      </c>
      <c r="AC77" s="92">
        <f t="shared" ca="1" si="34"/>
        <v>1</v>
      </c>
      <c r="AD77" s="92">
        <f t="shared" ca="1" si="64"/>
        <v>0.70735537190082642</v>
      </c>
      <c r="AE77" s="87">
        <f t="shared" ca="1" si="65"/>
        <v>0.16976528925619833</v>
      </c>
      <c r="AF77" s="87">
        <f t="shared" ca="1" si="35"/>
        <v>0.16976528925619833</v>
      </c>
      <c r="AG77" s="87">
        <f t="shared" ca="1" si="36"/>
        <v>6.232334955099005</v>
      </c>
      <c r="AH77" s="56">
        <f ca="1">FORECAST(AA77,OFFSET(Soils!$L$41:$L$57,MATCH(AA77,Soils!$J$41:$J$57,1)-1,0,2),OFFSET(Soils!$J$41:$J$57,MATCH(AA77,Soils!$J$41:$J$57,1)-1,0,2))</f>
        <v>0.80237784544004631</v>
      </c>
      <c r="AI77" s="27">
        <f t="shared" ca="1" si="52"/>
        <v>1.6541612295200809</v>
      </c>
      <c r="AJ77" s="54"/>
      <c r="AK77" s="54">
        <f t="shared" ca="1" si="53"/>
        <v>1.7864941278816875</v>
      </c>
      <c r="AL77" s="54">
        <f t="shared" ca="1" si="66"/>
        <v>45.376950848194859</v>
      </c>
      <c r="AM77" s="27">
        <f t="shared" ca="1" si="37"/>
        <v>0.53594823836450622</v>
      </c>
      <c r="AN77" s="40">
        <f t="shared" ca="1" si="38"/>
        <v>1.2505458895171813</v>
      </c>
      <c r="AO77" s="27">
        <f t="shared" ca="1" si="39"/>
        <v>0</v>
      </c>
      <c r="AP77" s="27">
        <f t="shared" ca="1" si="54"/>
        <v>0.16976528925619833</v>
      </c>
      <c r="AQ77" s="27">
        <f t="shared" ca="1" si="40"/>
        <v>1.6167288386254892</v>
      </c>
      <c r="AR77" s="27">
        <f t="shared" ca="1" si="41"/>
        <v>1</v>
      </c>
      <c r="AS77" s="27">
        <f t="shared" ca="1" si="55"/>
        <v>0</v>
      </c>
      <c r="AT77" s="28">
        <f t="shared" ca="1" si="42"/>
        <v>105.11039120881945</v>
      </c>
      <c r="AU77" s="27">
        <f t="shared" ca="1" si="67"/>
        <v>0</v>
      </c>
      <c r="AV77" s="51">
        <f t="shared" ca="1" si="68"/>
        <v>0</v>
      </c>
      <c r="AW77" s="51">
        <f t="shared" ca="1" si="43"/>
        <v>104.56965839192588</v>
      </c>
      <c r="AX77" s="27">
        <f t="shared" ca="1" si="69"/>
        <v>0</v>
      </c>
      <c r="AY77" s="54">
        <f t="shared" ca="1" si="44"/>
        <v>0.54073281689356767</v>
      </c>
      <c r="AZ77" s="91">
        <f t="shared" si="70"/>
        <v>111.17296087466227</v>
      </c>
      <c r="BA77" s="33">
        <f t="shared" ca="1" si="56"/>
        <v>0</v>
      </c>
      <c r="BB77" s="33">
        <f t="shared" ca="1" si="45"/>
        <v>6.0625696658428048</v>
      </c>
    </row>
    <row r="78" spans="2:54" x14ac:dyDescent="0.25">
      <c r="B78" s="18"/>
      <c r="D78" s="154">
        <v>42223</v>
      </c>
      <c r="E78" s="58">
        <v>0</v>
      </c>
      <c r="G78" s="18"/>
      <c r="L78" s="83">
        <f t="shared" si="57"/>
        <v>0</v>
      </c>
      <c r="M78" s="68"/>
      <c r="N78" s="62">
        <v>42223</v>
      </c>
      <c r="O78" s="37">
        <f t="shared" si="58"/>
        <v>0</v>
      </c>
      <c r="P78" s="85">
        <f t="shared" si="59"/>
        <v>0</v>
      </c>
      <c r="Q78" s="85">
        <f t="shared" si="60"/>
        <v>0</v>
      </c>
      <c r="R78" s="84">
        <f t="shared" si="71"/>
        <v>74848.791316519651</v>
      </c>
      <c r="S78" s="86">
        <f t="shared" si="61"/>
        <v>1.7182918116740049</v>
      </c>
      <c r="T78" s="85">
        <f t="shared" si="62"/>
        <v>109.74896087466225</v>
      </c>
      <c r="U78" s="88">
        <f>LOOKUP(N78,'weather data'!$B$7:$B$158,'weather data'!$C$7:$C$158)</f>
        <v>0.11</v>
      </c>
      <c r="V78" s="88">
        <f t="shared" si="63"/>
        <v>8.8000000000000009E-2</v>
      </c>
      <c r="W78" s="88">
        <f t="shared" si="72"/>
        <v>1.512</v>
      </c>
      <c r="X78" s="79">
        <f>LOOKUP(N78,'weather data'!$B$7:$B$158,'weather data'!$E$7:$E$158)</f>
        <v>0.11</v>
      </c>
      <c r="Y78" s="6">
        <v>1</v>
      </c>
      <c r="Z78" s="6">
        <v>68</v>
      </c>
      <c r="AA78" s="95">
        <f t="shared" si="51"/>
        <v>89.917355371900825</v>
      </c>
      <c r="AB78" s="94">
        <f ca="1">FORECAST(AA78,OFFSET(Soils!$K$41:$K$57,MATCH(AA78,Soils!$J$41:$J$57,1)-1,0,2),OFFSET(Soils!$J$41:$J$57,MATCH(AA78,Soils!$J$41:$J$57,1)-1,0,2))</f>
        <v>0.71925619834710741</v>
      </c>
      <c r="AC78" s="92">
        <f t="shared" ca="1" si="34"/>
        <v>1</v>
      </c>
      <c r="AD78" s="92">
        <f t="shared" ca="1" si="64"/>
        <v>0.71925619834710741</v>
      </c>
      <c r="AE78" s="87">
        <f t="shared" ca="1" si="65"/>
        <v>7.911818181818181E-2</v>
      </c>
      <c r="AF78" s="87">
        <f t="shared" ca="1" si="35"/>
        <v>7.911818181818181E-2</v>
      </c>
      <c r="AG78" s="87">
        <f t="shared" ca="1" si="36"/>
        <v>6.3114531369171871</v>
      </c>
      <c r="AH78" s="56">
        <f ca="1">FORECAST(AA78,OFFSET(Soils!$L$41:$L$57,MATCH(AA78,Soils!$J$41:$J$57,1)-1,0,2),OFFSET(Soils!$J$41:$J$57,MATCH(AA78,Soils!$J$41:$J$57,1)-1,0,2))</f>
        <v>0.82325648832825871</v>
      </c>
      <c r="AI78" s="27">
        <f t="shared" ca="1" si="52"/>
        <v>1.6906988545744528</v>
      </c>
      <c r="AJ78" s="54"/>
      <c r="AK78" s="54">
        <f t="shared" ca="1" si="53"/>
        <v>1.8259547629404091</v>
      </c>
      <c r="AL78" s="54">
        <f t="shared" ca="1" si="66"/>
        <v>46.379250978686393</v>
      </c>
      <c r="AM78" s="27">
        <f t="shared" ca="1" si="37"/>
        <v>0.5477864288821227</v>
      </c>
      <c r="AN78" s="40">
        <f t="shared" ca="1" si="38"/>
        <v>1.2781683340582863</v>
      </c>
      <c r="AO78" s="27">
        <f t="shared" ca="1" si="39"/>
        <v>0.16976528925619833</v>
      </c>
      <c r="AP78" s="27">
        <f t="shared" ca="1" si="54"/>
        <v>0.16088347107438011</v>
      </c>
      <c r="AQ78" s="27">
        <f t="shared" ca="1" si="40"/>
        <v>1.6650712918660291</v>
      </c>
      <c r="AR78" s="27">
        <f t="shared" ca="1" si="41"/>
        <v>1</v>
      </c>
      <c r="AS78" s="27">
        <f t="shared" ca="1" si="55"/>
        <v>0</v>
      </c>
      <c r="AT78" s="28">
        <f t="shared" ca="1" si="42"/>
        <v>105.11039120881945</v>
      </c>
      <c r="AU78" s="27">
        <f t="shared" ca="1" si="67"/>
        <v>0</v>
      </c>
      <c r="AV78" s="51">
        <f t="shared" ca="1" si="68"/>
        <v>0</v>
      </c>
      <c r="AW78" s="51">
        <f t="shared" ca="1" si="43"/>
        <v>104.56965839192588</v>
      </c>
      <c r="AX78" s="27">
        <f t="shared" ca="1" si="69"/>
        <v>0</v>
      </c>
      <c r="AY78" s="54">
        <f t="shared" ca="1" si="44"/>
        <v>0.54073281689356767</v>
      </c>
      <c r="AZ78" s="91">
        <f t="shared" si="70"/>
        <v>111.26096087466226</v>
      </c>
      <c r="BA78" s="33">
        <f t="shared" ca="1" si="56"/>
        <v>8.8000000000000009E-2</v>
      </c>
      <c r="BB78" s="33">
        <f t="shared" ca="1" si="45"/>
        <v>6.1505696658428048</v>
      </c>
    </row>
    <row r="79" spans="2:54" x14ac:dyDescent="0.25">
      <c r="B79" s="18"/>
      <c r="D79" s="154">
        <v>42224</v>
      </c>
      <c r="E79" s="58">
        <v>0</v>
      </c>
      <c r="G79" s="18"/>
      <c r="L79" s="83">
        <f t="shared" si="57"/>
        <v>0</v>
      </c>
      <c r="M79" s="68"/>
      <c r="N79" s="62">
        <v>42224</v>
      </c>
      <c r="O79" s="37">
        <f t="shared" si="58"/>
        <v>0</v>
      </c>
      <c r="P79" s="85">
        <f t="shared" si="59"/>
        <v>0</v>
      </c>
      <c r="Q79" s="85">
        <f t="shared" si="60"/>
        <v>0</v>
      </c>
      <c r="R79" s="84">
        <f t="shared" si="71"/>
        <v>74848.791316519651</v>
      </c>
      <c r="S79" s="86">
        <f t="shared" si="61"/>
        <v>1.7182918116740049</v>
      </c>
      <c r="T79" s="85">
        <f t="shared" si="62"/>
        <v>109.74896087466225</v>
      </c>
      <c r="U79" s="88">
        <f>LOOKUP(N79,'weather data'!$B$7:$B$158,'weather data'!$C$7:$C$158)</f>
        <v>0.01</v>
      </c>
      <c r="V79" s="88">
        <f t="shared" si="63"/>
        <v>0</v>
      </c>
      <c r="W79" s="88">
        <f t="shared" si="72"/>
        <v>1.512</v>
      </c>
      <c r="X79" s="79">
        <f>LOOKUP(N79,'weather data'!$B$7:$B$158,'weather data'!$E$7:$E$158)</f>
        <v>0.19</v>
      </c>
      <c r="Y79" s="6">
        <v>1</v>
      </c>
      <c r="Z79" s="6">
        <v>69</v>
      </c>
      <c r="AA79" s="95">
        <f t="shared" si="51"/>
        <v>91.239669421487605</v>
      </c>
      <c r="AB79" s="94">
        <f ca="1">FORECAST(AA79,OFFSET(Soils!$K$41:$K$57,MATCH(AA79,Soils!$J$41:$J$57,1)-1,0,2),OFFSET(Soils!$J$41:$J$57,MATCH(AA79,Soils!$J$41:$J$57,1)-1,0,2))</f>
        <v>0.73239669421487608</v>
      </c>
      <c r="AC79" s="92">
        <f t="shared" ca="1" si="34"/>
        <v>1</v>
      </c>
      <c r="AD79" s="92">
        <f t="shared" ca="1" si="64"/>
        <v>0.73239669421487608</v>
      </c>
      <c r="AE79" s="87">
        <f t="shared" ca="1" si="65"/>
        <v>0.13915537190082647</v>
      </c>
      <c r="AF79" s="87">
        <f t="shared" ca="1" si="35"/>
        <v>0.13915537190082647</v>
      </c>
      <c r="AG79" s="87">
        <f t="shared" ca="1" si="36"/>
        <v>6.4506085088180134</v>
      </c>
      <c r="AH79" s="56">
        <f ca="1">FORECAST(AA79,OFFSET(Soils!$L$41:$L$57,MATCH(AA79,Soils!$J$41:$J$57,1)-1,0,2),OFFSET(Soils!$J$41:$J$57,MATCH(AA79,Soils!$J$41:$J$57,1)-1,0,2))</f>
        <v>0.84630998985065964</v>
      </c>
      <c r="AI79" s="27">
        <f t="shared" ca="1" si="52"/>
        <v>1.7310424822386543</v>
      </c>
      <c r="AJ79" s="54"/>
      <c r="AK79" s="54">
        <f t="shared" ca="1" si="53"/>
        <v>1.8695258808177468</v>
      </c>
      <c r="AL79" s="54">
        <f t="shared" ca="1" si="66"/>
        <v>47.48595737277077</v>
      </c>
      <c r="AM79" s="27">
        <f t="shared" ca="1" si="37"/>
        <v>0.56085776424532408</v>
      </c>
      <c r="AN79" s="40">
        <f t="shared" ca="1" si="38"/>
        <v>1.3086681165724228</v>
      </c>
      <c r="AO79" s="27">
        <f t="shared" ca="1" si="39"/>
        <v>0.16088347107438011</v>
      </c>
      <c r="AP79" s="27">
        <f t="shared" ca="1" si="54"/>
        <v>0.30003884297520655</v>
      </c>
      <c r="AQ79" s="27">
        <f t="shared" ca="1" si="40"/>
        <v>1.5694870378425403</v>
      </c>
      <c r="AR79" s="27">
        <f t="shared" ca="1" si="41"/>
        <v>1</v>
      </c>
      <c r="AS79" s="27">
        <f t="shared" ca="1" si="55"/>
        <v>0</v>
      </c>
      <c r="AT79" s="28">
        <f t="shared" ca="1" si="42"/>
        <v>105.11039120881945</v>
      </c>
      <c r="AU79" s="27">
        <f t="shared" ca="1" si="67"/>
        <v>0</v>
      </c>
      <c r="AV79" s="51">
        <f t="shared" ca="1" si="68"/>
        <v>0</v>
      </c>
      <c r="AW79" s="51">
        <f t="shared" ca="1" si="43"/>
        <v>104.56965839192588</v>
      </c>
      <c r="AX79" s="27">
        <f t="shared" ca="1" si="69"/>
        <v>0</v>
      </c>
      <c r="AY79" s="54">
        <f t="shared" ca="1" si="44"/>
        <v>0.54073281689356767</v>
      </c>
      <c r="AZ79" s="91">
        <f t="shared" si="70"/>
        <v>111.26096087466226</v>
      </c>
      <c r="BA79" s="33">
        <f t="shared" ca="1" si="56"/>
        <v>0</v>
      </c>
      <c r="BB79" s="33">
        <f t="shared" ca="1" si="45"/>
        <v>6.1505696658428048</v>
      </c>
    </row>
    <row r="80" spans="2:54" x14ac:dyDescent="0.25">
      <c r="B80" s="18"/>
      <c r="D80" s="154">
        <v>42225</v>
      </c>
      <c r="E80" s="58">
        <v>0</v>
      </c>
      <c r="G80" s="18"/>
      <c r="L80" s="83">
        <f t="shared" si="57"/>
        <v>0</v>
      </c>
      <c r="M80" s="68"/>
      <c r="N80" s="62">
        <v>42225</v>
      </c>
      <c r="O80" s="37">
        <f t="shared" si="58"/>
        <v>0</v>
      </c>
      <c r="P80" s="85">
        <f t="shared" si="59"/>
        <v>0</v>
      </c>
      <c r="Q80" s="85">
        <f t="shared" si="60"/>
        <v>0</v>
      </c>
      <c r="R80" s="84">
        <f t="shared" si="71"/>
        <v>74848.791316519651</v>
      </c>
      <c r="S80" s="86">
        <f t="shared" si="61"/>
        <v>1.7182918116740049</v>
      </c>
      <c r="T80" s="85">
        <f t="shared" si="62"/>
        <v>109.74896087466225</v>
      </c>
      <c r="U80" s="88">
        <f>LOOKUP(N80,'weather data'!$B$7:$B$158,'weather data'!$C$7:$C$158)</f>
        <v>0</v>
      </c>
      <c r="V80" s="88">
        <f t="shared" si="63"/>
        <v>0</v>
      </c>
      <c r="W80" s="88">
        <f t="shared" si="72"/>
        <v>1.512</v>
      </c>
      <c r="X80" s="79">
        <f>LOOKUP(N80,'weather data'!$B$7:$B$158,'weather data'!$E$7:$E$158)</f>
        <v>0.23</v>
      </c>
      <c r="Y80" s="6">
        <v>1</v>
      </c>
      <c r="Z80" s="6">
        <v>70</v>
      </c>
      <c r="AA80" s="95">
        <f t="shared" si="51"/>
        <v>92.561983471074385</v>
      </c>
      <c r="AB80" s="94">
        <f ca="1">FORECAST(AA80,OFFSET(Soils!$K$41:$K$57,MATCH(AA80,Soils!$J$41:$J$57,1)-1,0,2),OFFSET(Soils!$J$41:$J$57,MATCH(AA80,Soils!$J$41:$J$57,1)-1,0,2))</f>
        <v>0.74561983471074389</v>
      </c>
      <c r="AC80" s="92">
        <f t="shared" ca="1" si="34"/>
        <v>1</v>
      </c>
      <c r="AD80" s="92">
        <f t="shared" ca="1" si="64"/>
        <v>0.74561983471074389</v>
      </c>
      <c r="AE80" s="87">
        <f t="shared" ca="1" si="65"/>
        <v>0.1714925619834711</v>
      </c>
      <c r="AF80" s="87">
        <f t="shared" ca="1" si="35"/>
        <v>0.1714925619834711</v>
      </c>
      <c r="AG80" s="87">
        <f t="shared" ca="1" si="36"/>
        <v>6.6221010708014845</v>
      </c>
      <c r="AH80" s="56">
        <f ca="1">FORECAST(AA80,OFFSET(Soils!$L$41:$L$57,MATCH(AA80,Soils!$J$41:$J$57,1)-1,0,2),OFFSET(Soils!$J$41:$J$57,MATCH(AA80,Soils!$J$41:$J$57,1)-1,0,2))</f>
        <v>0.86950848194867336</v>
      </c>
      <c r="AI80" s="27">
        <f t="shared" ca="1" si="52"/>
        <v>1.7716398434101783</v>
      </c>
      <c r="AJ80" s="54"/>
      <c r="AK80" s="54">
        <f t="shared" ca="1" si="53"/>
        <v>1.9133710308829928</v>
      </c>
      <c r="AL80" s="54">
        <f t="shared" ca="1" si="66"/>
        <v>48.599624184428016</v>
      </c>
      <c r="AM80" s="27">
        <f t="shared" ca="1" si="37"/>
        <v>0.57401130926489785</v>
      </c>
      <c r="AN80" s="40">
        <f t="shared" ca="1" si="38"/>
        <v>1.339359721618095</v>
      </c>
      <c r="AO80" s="27">
        <f t="shared" ca="1" si="39"/>
        <v>0.30003884297520655</v>
      </c>
      <c r="AP80" s="27">
        <f t="shared" ca="1" si="54"/>
        <v>0.47153140495867762</v>
      </c>
      <c r="AQ80" s="27">
        <f t="shared" ca="1" si="40"/>
        <v>1.4418396259243151</v>
      </c>
      <c r="AR80" s="27">
        <f t="shared" ca="1" si="41"/>
        <v>1</v>
      </c>
      <c r="AS80" s="27">
        <f t="shared" ca="1" si="55"/>
        <v>0</v>
      </c>
      <c r="AT80" s="28">
        <f t="shared" ca="1" si="42"/>
        <v>105.11039120881945</v>
      </c>
      <c r="AU80" s="27">
        <f t="shared" ca="1" si="67"/>
        <v>0</v>
      </c>
      <c r="AV80" s="51">
        <f t="shared" ca="1" si="68"/>
        <v>0</v>
      </c>
      <c r="AW80" s="51">
        <f t="shared" ca="1" si="43"/>
        <v>104.56965839192588</v>
      </c>
      <c r="AX80" s="27">
        <f t="shared" ca="1" si="69"/>
        <v>0</v>
      </c>
      <c r="AY80" s="54">
        <f t="shared" ca="1" si="44"/>
        <v>0.54073281689356767</v>
      </c>
      <c r="AZ80" s="91">
        <f t="shared" si="70"/>
        <v>111.26096087466226</v>
      </c>
      <c r="BA80" s="33">
        <f t="shared" ca="1" si="56"/>
        <v>0</v>
      </c>
      <c r="BB80" s="33">
        <f t="shared" ca="1" si="45"/>
        <v>6.1505696658428048</v>
      </c>
    </row>
    <row r="81" spans="2:54" x14ac:dyDescent="0.25">
      <c r="B81" s="18"/>
      <c r="D81" s="154">
        <v>42226</v>
      </c>
      <c r="E81" s="58">
        <f>B32</f>
        <v>5120.8521806123827</v>
      </c>
      <c r="G81" s="18"/>
      <c r="L81" s="83">
        <f t="shared" si="57"/>
        <v>5120.8521806123827</v>
      </c>
      <c r="M81" s="68"/>
      <c r="N81" s="62">
        <v>42226</v>
      </c>
      <c r="O81" s="37">
        <f t="shared" si="58"/>
        <v>5120.8521806123827</v>
      </c>
      <c r="P81" s="85">
        <f t="shared" si="59"/>
        <v>7.5085809099888312</v>
      </c>
      <c r="Q81" s="85">
        <f t="shared" si="60"/>
        <v>190.7179551137163</v>
      </c>
      <c r="R81" s="84">
        <f t="shared" si="71"/>
        <v>79969.643497132027</v>
      </c>
      <c r="S81" s="86">
        <f t="shared" si="61"/>
        <v>1.8358504016788804</v>
      </c>
      <c r="T81" s="85">
        <f t="shared" si="62"/>
        <v>117.25754178465108</v>
      </c>
      <c r="U81" s="88">
        <f>LOOKUP(N81,'weather data'!$B$7:$B$158,'weather data'!$C$7:$C$158)</f>
        <v>0</v>
      </c>
      <c r="V81" s="88">
        <f t="shared" si="63"/>
        <v>0</v>
      </c>
      <c r="W81" s="88">
        <f t="shared" si="72"/>
        <v>1.512</v>
      </c>
      <c r="X81" s="79">
        <f>LOOKUP(N81,'weather data'!$B$7:$B$158,'weather data'!$E$7:$E$158)</f>
        <v>0.19</v>
      </c>
      <c r="Y81" s="6">
        <v>1</v>
      </c>
      <c r="Z81" s="6">
        <v>71</v>
      </c>
      <c r="AA81" s="95">
        <f t="shared" si="51"/>
        <v>93.884297520661164</v>
      </c>
      <c r="AB81" s="94">
        <f ca="1">FORECAST(AA81,OFFSET(Soils!$K$41:$K$57,MATCH(AA81,Soils!$J$41:$J$57,1)-1,0,2),OFFSET(Soils!$J$41:$J$57,MATCH(AA81,Soils!$J$41:$J$57,1)-1,0,2))</f>
        <v>0.7588429752066117</v>
      </c>
      <c r="AC81" s="92">
        <f t="shared" ca="1" si="34"/>
        <v>1</v>
      </c>
      <c r="AD81" s="92">
        <f t="shared" ca="1" si="64"/>
        <v>0.7588429752066117</v>
      </c>
      <c r="AE81" s="87">
        <f t="shared" ca="1" si="65"/>
        <v>0.14418016528925623</v>
      </c>
      <c r="AF81" s="87">
        <f t="shared" ca="1" si="35"/>
        <v>0.14418016528925623</v>
      </c>
      <c r="AG81" s="87">
        <f t="shared" ca="1" si="36"/>
        <v>6.7662812360907409</v>
      </c>
      <c r="AH81" s="56">
        <f ca="1">FORECAST(AA81,OFFSET(Soils!$L$41:$L$57,MATCH(AA81,Soils!$J$41:$J$57,1)-1,0,2),OFFSET(Soils!$J$41:$J$57,MATCH(AA81,Soils!$J$41:$J$57,1)-1,0,2))</f>
        <v>0.89270697404668709</v>
      </c>
      <c r="AI81" s="27">
        <f t="shared" ca="1" si="52"/>
        <v>1.8122372045817023</v>
      </c>
      <c r="AJ81" s="54"/>
      <c r="AK81" s="54">
        <f t="shared" ca="1" si="53"/>
        <v>1.9572161809482387</v>
      </c>
      <c r="AL81" s="54">
        <f t="shared" ca="1" si="66"/>
        <v>49.713290996085263</v>
      </c>
      <c r="AM81" s="27">
        <f t="shared" ca="1" si="37"/>
        <v>0.58716485428447163</v>
      </c>
      <c r="AN81" s="40">
        <f t="shared" ca="1" si="38"/>
        <v>1.3700513266637671</v>
      </c>
      <c r="AO81" s="27">
        <f t="shared" ca="1" si="39"/>
        <v>0.47153140495867762</v>
      </c>
      <c r="AP81" s="27">
        <f t="shared" ca="1" si="54"/>
        <v>0</v>
      </c>
      <c r="AQ81" s="27">
        <f t="shared" ca="1" si="40"/>
        <v>1.9572161809482387</v>
      </c>
      <c r="AR81" s="27">
        <f t="shared" ca="1" si="41"/>
        <v>1</v>
      </c>
      <c r="AS81" s="27">
        <f t="shared" ca="1" si="55"/>
        <v>6.8928693397408969</v>
      </c>
      <c r="AT81" s="28">
        <f t="shared" ca="1" si="42"/>
        <v>112.00326054856035</v>
      </c>
      <c r="AU81" s="27">
        <f t="shared" ca="1" si="67"/>
        <v>6.8928693397408969</v>
      </c>
      <c r="AV81" s="51">
        <f t="shared" ca="1" si="68"/>
        <v>175.07888122941878</v>
      </c>
      <c r="AW81" s="51">
        <f t="shared" ca="1" si="43"/>
        <v>111.46252773166678</v>
      </c>
      <c r="AX81" s="27">
        <f t="shared" ca="1" si="69"/>
        <v>0</v>
      </c>
      <c r="AY81" s="54">
        <f t="shared" ca="1" si="44"/>
        <v>0.54073281689356767</v>
      </c>
      <c r="AZ81" s="91">
        <f t="shared" si="70"/>
        <v>118.7695417846511</v>
      </c>
      <c r="BA81" s="33">
        <f t="shared" ca="1" si="56"/>
        <v>0.61571157024793433</v>
      </c>
      <c r="BB81" s="33">
        <f t="shared" ca="1" si="45"/>
        <v>6.7662812360907392</v>
      </c>
    </row>
    <row r="82" spans="2:54" x14ac:dyDescent="0.25">
      <c r="B82" s="18"/>
      <c r="D82" s="154">
        <v>42227</v>
      </c>
      <c r="E82" s="58">
        <v>0</v>
      </c>
      <c r="G82" s="18"/>
      <c r="L82" s="83">
        <f t="shared" si="57"/>
        <v>0</v>
      </c>
      <c r="M82" s="68"/>
      <c r="N82" s="62">
        <v>42227</v>
      </c>
      <c r="O82" s="37">
        <f t="shared" si="58"/>
        <v>0</v>
      </c>
      <c r="P82" s="85">
        <f t="shared" si="59"/>
        <v>0</v>
      </c>
      <c r="Q82" s="85">
        <f t="shared" si="60"/>
        <v>0</v>
      </c>
      <c r="R82" s="84">
        <f t="shared" si="71"/>
        <v>79969.643497132027</v>
      </c>
      <c r="S82" s="86">
        <f t="shared" si="61"/>
        <v>1.8358504016788804</v>
      </c>
      <c r="T82" s="85">
        <f t="shared" si="62"/>
        <v>117.25754178465108</v>
      </c>
      <c r="U82" s="88">
        <f>LOOKUP(N82,'weather data'!$B$7:$B$158,'weather data'!$C$7:$C$158)</f>
        <v>0.2</v>
      </c>
      <c r="V82" s="88">
        <f t="shared" si="63"/>
        <v>0.16000000000000003</v>
      </c>
      <c r="W82" s="88">
        <f t="shared" si="72"/>
        <v>1.6720000000000002</v>
      </c>
      <c r="X82" s="79">
        <f>LOOKUP(N82,'weather data'!$B$7:$B$158,'weather data'!$E$7:$E$158)</f>
        <v>0.24</v>
      </c>
      <c r="Y82" s="6">
        <v>1</v>
      </c>
      <c r="Z82" s="6">
        <v>72</v>
      </c>
      <c r="AA82" s="95">
        <f t="shared" si="51"/>
        <v>95.206611570247929</v>
      </c>
      <c r="AB82" s="94">
        <f ca="1">FORECAST(AA82,OFFSET(Soils!$K$41:$K$57,MATCH(AA82,Soils!$J$41:$J$57,1)-1,0,2),OFFSET(Soils!$J$41:$J$57,MATCH(AA82,Soils!$J$41:$J$57,1)-1,0,2))</f>
        <v>0.77206611570247929</v>
      </c>
      <c r="AC82" s="92">
        <f t="shared" ca="1" si="34"/>
        <v>1</v>
      </c>
      <c r="AD82" s="92">
        <f t="shared" ca="1" si="64"/>
        <v>0.77206611570247929</v>
      </c>
      <c r="AE82" s="87">
        <f t="shared" ca="1" si="65"/>
        <v>0.18529586776859502</v>
      </c>
      <c r="AF82" s="87">
        <f t="shared" ca="1" si="35"/>
        <v>0.18529586776859502</v>
      </c>
      <c r="AG82" s="87">
        <f t="shared" ca="1" si="36"/>
        <v>6.9515771038593357</v>
      </c>
      <c r="AH82" s="56">
        <f ca="1">FORECAST(AA82,OFFSET(Soils!$L$41:$L$57,MATCH(AA82,Soils!$J$41:$J$57,1)-1,0,2),OFFSET(Soils!$J$41:$J$57,MATCH(AA82,Soils!$J$41:$J$57,1)-1,0,2))</f>
        <v>0.91590546614470059</v>
      </c>
      <c r="AI82" s="27">
        <f t="shared" ca="1" si="52"/>
        <v>1.8528345657532261</v>
      </c>
      <c r="AJ82" s="54"/>
      <c r="AK82" s="54">
        <f t="shared" ca="1" si="53"/>
        <v>2.0010613310134842</v>
      </c>
      <c r="AL82" s="54">
        <f t="shared" ca="1" si="66"/>
        <v>50.826957807742495</v>
      </c>
      <c r="AM82" s="27">
        <f t="shared" ca="1" si="37"/>
        <v>0.60031839930404518</v>
      </c>
      <c r="AN82" s="40">
        <f t="shared" ca="1" si="38"/>
        <v>1.4007429317094391</v>
      </c>
      <c r="AO82" s="27">
        <f t="shared" ca="1" si="39"/>
        <v>0</v>
      </c>
      <c r="AP82" s="27">
        <f t="shared" ca="1" si="54"/>
        <v>2.5295867768594993E-2</v>
      </c>
      <c r="AQ82" s="27">
        <f t="shared" ca="1" si="40"/>
        <v>1.9757654632448891</v>
      </c>
      <c r="AR82" s="27">
        <f t="shared" ca="1" si="41"/>
        <v>1</v>
      </c>
      <c r="AS82" s="27">
        <f t="shared" ca="1" si="55"/>
        <v>0</v>
      </c>
      <c r="AT82" s="28">
        <f t="shared" ca="1" si="42"/>
        <v>112.00326054856035</v>
      </c>
      <c r="AU82" s="27">
        <f t="shared" ca="1" si="67"/>
        <v>0</v>
      </c>
      <c r="AV82" s="51">
        <f t="shared" ca="1" si="68"/>
        <v>0</v>
      </c>
      <c r="AW82" s="51">
        <f t="shared" ca="1" si="43"/>
        <v>111.46252773166678</v>
      </c>
      <c r="AX82" s="27">
        <f t="shared" ca="1" si="69"/>
        <v>0</v>
      </c>
      <c r="AY82" s="54">
        <f t="shared" ca="1" si="44"/>
        <v>0.54073281689356767</v>
      </c>
      <c r="AZ82" s="91">
        <f t="shared" si="70"/>
        <v>118.92954178465109</v>
      </c>
      <c r="BA82" s="33">
        <f t="shared" ca="1" si="56"/>
        <v>0.16000000000000003</v>
      </c>
      <c r="BB82" s="33">
        <f t="shared" ca="1" si="45"/>
        <v>6.9262812360907393</v>
      </c>
    </row>
    <row r="83" spans="2:54" x14ac:dyDescent="0.25">
      <c r="B83" s="18"/>
      <c r="D83" s="154">
        <v>42228</v>
      </c>
      <c r="E83" s="58">
        <v>0</v>
      </c>
      <c r="G83" s="18"/>
      <c r="L83" s="83">
        <f t="shared" si="57"/>
        <v>0</v>
      </c>
      <c r="M83" s="68"/>
      <c r="N83" s="62">
        <v>42228</v>
      </c>
      <c r="O83" s="37">
        <f t="shared" si="58"/>
        <v>0</v>
      </c>
      <c r="P83" s="85">
        <f t="shared" si="59"/>
        <v>0</v>
      </c>
      <c r="Q83" s="85">
        <f t="shared" si="60"/>
        <v>0</v>
      </c>
      <c r="R83" s="84">
        <f t="shared" si="71"/>
        <v>79969.643497132027</v>
      </c>
      <c r="S83" s="86">
        <f t="shared" si="61"/>
        <v>1.8358504016788804</v>
      </c>
      <c r="T83" s="85">
        <f t="shared" si="62"/>
        <v>117.25754178465108</v>
      </c>
      <c r="U83" s="88">
        <f>LOOKUP(N83,'weather data'!$B$7:$B$158,'weather data'!$C$7:$C$158)</f>
        <v>0</v>
      </c>
      <c r="V83" s="88">
        <f t="shared" si="63"/>
        <v>0</v>
      </c>
      <c r="W83" s="88">
        <f t="shared" si="72"/>
        <v>1.6720000000000002</v>
      </c>
      <c r="X83" s="79">
        <f>LOOKUP(N83,'weather data'!$B$7:$B$158,'weather data'!$E$7:$E$158)</f>
        <v>0.22</v>
      </c>
      <c r="Y83" s="6">
        <v>1</v>
      </c>
      <c r="Z83" s="6">
        <v>73</v>
      </c>
      <c r="AA83" s="95">
        <f t="shared" si="51"/>
        <v>96.528925619834709</v>
      </c>
      <c r="AB83" s="94">
        <f ca="1">FORECAST(AA83,OFFSET(Soils!$K$41:$K$57,MATCH(AA83,Soils!$J$41:$J$57,1)-1,0,2),OFFSET(Soils!$J$41:$J$57,MATCH(AA83,Soils!$J$41:$J$57,1)-1,0,2))</f>
        <v>0.78528925619834711</v>
      </c>
      <c r="AC83" s="92">
        <f t="shared" ca="1" si="34"/>
        <v>1</v>
      </c>
      <c r="AD83" s="92">
        <f t="shared" ca="1" si="64"/>
        <v>0.78528925619834711</v>
      </c>
      <c r="AE83" s="87">
        <f t="shared" ca="1" si="65"/>
        <v>0.17276363636363637</v>
      </c>
      <c r="AF83" s="87">
        <f t="shared" ca="1" si="35"/>
        <v>0.17276363636363637</v>
      </c>
      <c r="AG83" s="87">
        <f t="shared" ca="1" si="36"/>
        <v>7.1243407402229719</v>
      </c>
      <c r="AH83" s="56">
        <f ca="1">FORECAST(AA83,OFFSET(Soils!$L$41:$L$57,MATCH(AA83,Soils!$J$41:$J$57,1)-1,0,2),OFFSET(Soils!$J$41:$J$57,MATCH(AA83,Soils!$J$41:$J$57,1)-1,0,2))</f>
        <v>0.93910395824271409</v>
      </c>
      <c r="AI83" s="27">
        <f t="shared" ca="1" si="52"/>
        <v>1.8934319269247497</v>
      </c>
      <c r="AJ83" s="54"/>
      <c r="AK83" s="54">
        <f t="shared" ca="1" si="53"/>
        <v>2.0449064810787299</v>
      </c>
      <c r="AL83" s="54">
        <f t="shared" ca="1" si="66"/>
        <v>51.940624619399735</v>
      </c>
      <c r="AM83" s="27">
        <f t="shared" ca="1" si="37"/>
        <v>0.61347194432361896</v>
      </c>
      <c r="AN83" s="40">
        <f t="shared" ca="1" si="38"/>
        <v>1.4314345367551109</v>
      </c>
      <c r="AO83" s="27">
        <f t="shared" ca="1" si="39"/>
        <v>2.5295867768594993E-2</v>
      </c>
      <c r="AP83" s="27">
        <f t="shared" ca="1" si="54"/>
        <v>0.19805950413223136</v>
      </c>
      <c r="AQ83" s="27">
        <f t="shared" ca="1" si="40"/>
        <v>1.8468469769464986</v>
      </c>
      <c r="AR83" s="27">
        <f t="shared" ca="1" si="41"/>
        <v>1</v>
      </c>
      <c r="AS83" s="27">
        <f t="shared" ca="1" si="55"/>
        <v>0</v>
      </c>
      <c r="AT83" s="28">
        <f t="shared" ca="1" si="42"/>
        <v>112.00326054856035</v>
      </c>
      <c r="AU83" s="27">
        <f t="shared" ca="1" si="67"/>
        <v>0</v>
      </c>
      <c r="AV83" s="51">
        <f t="shared" ca="1" si="68"/>
        <v>0</v>
      </c>
      <c r="AW83" s="51">
        <f t="shared" ca="1" si="43"/>
        <v>111.46252773166678</v>
      </c>
      <c r="AX83" s="27">
        <f t="shared" ca="1" si="69"/>
        <v>0</v>
      </c>
      <c r="AY83" s="54">
        <f t="shared" ca="1" si="44"/>
        <v>0.54073281689356767</v>
      </c>
      <c r="AZ83" s="91">
        <f t="shared" si="70"/>
        <v>118.92954178465109</v>
      </c>
      <c r="BA83" s="33">
        <f t="shared" ca="1" si="56"/>
        <v>0</v>
      </c>
      <c r="BB83" s="33">
        <f t="shared" ca="1" si="45"/>
        <v>6.9262812360907393</v>
      </c>
    </row>
    <row r="84" spans="2:54" x14ac:dyDescent="0.25">
      <c r="B84" s="18"/>
      <c r="D84" s="154">
        <v>42229</v>
      </c>
      <c r="E84" s="58">
        <v>0</v>
      </c>
      <c r="G84" s="18"/>
      <c r="L84" s="83">
        <f t="shared" si="57"/>
        <v>0</v>
      </c>
      <c r="M84" s="68"/>
      <c r="N84" s="62">
        <v>42229</v>
      </c>
      <c r="O84" s="37">
        <f t="shared" si="58"/>
        <v>0</v>
      </c>
      <c r="P84" s="85">
        <f t="shared" si="59"/>
        <v>0</v>
      </c>
      <c r="Q84" s="85">
        <f t="shared" si="60"/>
        <v>0</v>
      </c>
      <c r="R84" s="84">
        <f t="shared" si="71"/>
        <v>79969.643497132027</v>
      </c>
      <c r="S84" s="86">
        <f t="shared" si="61"/>
        <v>1.8358504016788804</v>
      </c>
      <c r="T84" s="85">
        <f t="shared" si="62"/>
        <v>117.25754178465108</v>
      </c>
      <c r="U84" s="88">
        <f>LOOKUP(N84,'weather data'!$B$7:$B$158,'weather data'!$C$7:$C$158)</f>
        <v>0</v>
      </c>
      <c r="V84" s="88">
        <f t="shared" si="63"/>
        <v>0</v>
      </c>
      <c r="W84" s="88">
        <f t="shared" si="72"/>
        <v>1.6720000000000002</v>
      </c>
      <c r="X84" s="79">
        <f>LOOKUP(N84,'weather data'!$B$7:$B$158,'weather data'!$E$7:$E$158)</f>
        <v>0.24</v>
      </c>
      <c r="Y84" s="6">
        <v>1</v>
      </c>
      <c r="Z84" s="6">
        <v>74</v>
      </c>
      <c r="AA84" s="95">
        <f t="shared" si="51"/>
        <v>97.851239669421489</v>
      </c>
      <c r="AB84" s="94">
        <f ca="1">FORECAST(AA84,OFFSET(Soils!$K$41:$K$57,MATCH(AA84,Soils!$J$41:$J$57,1)-1,0,2),OFFSET(Soils!$J$41:$J$57,MATCH(AA84,Soils!$J$41:$J$57,1)-1,0,2))</f>
        <v>0.79851239669421492</v>
      </c>
      <c r="AC84" s="92">
        <f t="shared" ca="1" si="34"/>
        <v>1</v>
      </c>
      <c r="AD84" s="92">
        <f t="shared" ca="1" si="64"/>
        <v>0.79851239669421492</v>
      </c>
      <c r="AE84" s="87">
        <f t="shared" ca="1" si="65"/>
        <v>0.19164297520661158</v>
      </c>
      <c r="AF84" s="87">
        <f t="shared" ca="1" si="35"/>
        <v>0.19164297520661158</v>
      </c>
      <c r="AG84" s="87">
        <f t="shared" ca="1" si="36"/>
        <v>7.3159837154295833</v>
      </c>
      <c r="AH84" s="56">
        <f ca="1">FORECAST(AA84,OFFSET(Soils!$L$41:$L$57,MATCH(AA84,Soils!$J$41:$J$57,1)-1,0,2),OFFSET(Soils!$J$41:$J$57,MATCH(AA84,Soils!$J$41:$J$57,1)-1,0,2))</f>
        <v>0.96230245034072781</v>
      </c>
      <c r="AI84" s="27">
        <f t="shared" ca="1" si="52"/>
        <v>1.9340292880962737</v>
      </c>
      <c r="AJ84" s="54"/>
      <c r="AK84" s="54">
        <f t="shared" ca="1" si="53"/>
        <v>2.0887516311439756</v>
      </c>
      <c r="AL84" s="54">
        <f t="shared" ca="1" si="66"/>
        <v>53.054291431056974</v>
      </c>
      <c r="AM84" s="27">
        <f t="shared" ca="1" si="37"/>
        <v>0.62662548934319262</v>
      </c>
      <c r="AN84" s="40">
        <f t="shared" ca="1" si="38"/>
        <v>1.4621261418007829</v>
      </c>
      <c r="AO84" s="27">
        <f t="shared" ca="1" si="39"/>
        <v>0.19805950413223136</v>
      </c>
      <c r="AP84" s="27">
        <f t="shared" ca="1" si="54"/>
        <v>0.38970247933884294</v>
      </c>
      <c r="AQ84" s="27">
        <f t="shared" ca="1" si="40"/>
        <v>1.6990491518051325</v>
      </c>
      <c r="AR84" s="27">
        <f t="shared" ca="1" si="41"/>
        <v>1</v>
      </c>
      <c r="AS84" s="27">
        <f t="shared" ca="1" si="55"/>
        <v>0</v>
      </c>
      <c r="AT84" s="28">
        <f t="shared" ca="1" si="42"/>
        <v>112.00326054856035</v>
      </c>
      <c r="AU84" s="27">
        <f t="shared" ca="1" si="67"/>
        <v>0</v>
      </c>
      <c r="AV84" s="51">
        <f t="shared" ca="1" si="68"/>
        <v>0</v>
      </c>
      <c r="AW84" s="51">
        <f t="shared" ca="1" si="43"/>
        <v>111.46252773166678</v>
      </c>
      <c r="AX84" s="27">
        <f t="shared" ca="1" si="69"/>
        <v>0</v>
      </c>
      <c r="AY84" s="54">
        <f t="shared" ca="1" si="44"/>
        <v>0.54073281689356767</v>
      </c>
      <c r="AZ84" s="91">
        <f t="shared" si="70"/>
        <v>118.92954178465109</v>
      </c>
      <c r="BA84" s="33">
        <f t="shared" ca="1" si="56"/>
        <v>0</v>
      </c>
      <c r="BB84" s="33">
        <f t="shared" ca="1" si="45"/>
        <v>6.9262812360907393</v>
      </c>
    </row>
    <row r="85" spans="2:54" x14ac:dyDescent="0.25">
      <c r="B85" s="18"/>
      <c r="D85" s="154">
        <v>42230</v>
      </c>
      <c r="E85" s="58">
        <v>0</v>
      </c>
      <c r="G85" s="18"/>
      <c r="L85" s="83">
        <f t="shared" si="57"/>
        <v>0</v>
      </c>
      <c r="M85" s="68"/>
      <c r="N85" s="62">
        <v>42230</v>
      </c>
      <c r="O85" s="37">
        <f t="shared" si="58"/>
        <v>0</v>
      </c>
      <c r="P85" s="85">
        <f t="shared" si="59"/>
        <v>0</v>
      </c>
      <c r="Q85" s="85">
        <f t="shared" si="60"/>
        <v>0</v>
      </c>
      <c r="R85" s="84">
        <f t="shared" si="71"/>
        <v>79969.643497132027</v>
      </c>
      <c r="S85" s="86">
        <f t="shared" si="61"/>
        <v>1.8358504016788804</v>
      </c>
      <c r="T85" s="85">
        <f t="shared" si="62"/>
        <v>117.25754178465108</v>
      </c>
      <c r="U85" s="88">
        <f>LOOKUP(N85,'weather data'!$B$7:$B$158,'weather data'!$C$7:$C$158)</f>
        <v>0</v>
      </c>
      <c r="V85" s="88">
        <f t="shared" si="63"/>
        <v>0</v>
      </c>
      <c r="W85" s="88">
        <f t="shared" si="72"/>
        <v>1.6720000000000002</v>
      </c>
      <c r="X85" s="79">
        <f>LOOKUP(N85,'weather data'!$B$7:$B$158,'weather data'!$E$7:$E$158)</f>
        <v>0.26</v>
      </c>
      <c r="Y85" s="6">
        <v>1</v>
      </c>
      <c r="Z85" s="6">
        <v>75</v>
      </c>
      <c r="AA85" s="95">
        <f t="shared" si="51"/>
        <v>99.173553719008268</v>
      </c>
      <c r="AB85" s="94">
        <f ca="1">FORECAST(AA85,OFFSET(Soils!$K$41:$K$57,MATCH(AA85,Soils!$J$41:$J$57,1)-1,0,2),OFFSET(Soils!$J$41:$J$57,MATCH(AA85,Soils!$J$41:$J$57,1)-1,0,2))</f>
        <v>0.81173553719008273</v>
      </c>
      <c r="AC85" s="92">
        <f t="shared" ca="1" si="34"/>
        <v>1</v>
      </c>
      <c r="AD85" s="92">
        <f t="shared" ca="1" si="64"/>
        <v>0.81173553719008273</v>
      </c>
      <c r="AE85" s="87">
        <f t="shared" ca="1" si="65"/>
        <v>0.21105123966942152</v>
      </c>
      <c r="AF85" s="87">
        <f t="shared" ca="1" si="35"/>
        <v>0.21105123966942152</v>
      </c>
      <c r="AG85" s="87">
        <f t="shared" ca="1" si="36"/>
        <v>7.5270349550990048</v>
      </c>
      <c r="AH85" s="56">
        <f ca="1">FORECAST(AA85,OFFSET(Soils!$L$41:$L$57,MATCH(AA85,Soils!$J$41:$J$57,1)-1,0,2),OFFSET(Soils!$J$41:$J$57,MATCH(AA85,Soils!$J$41:$J$57,1)-1,0,2))</f>
        <v>0.98550094243874153</v>
      </c>
      <c r="AI85" s="27">
        <f t="shared" ca="1" si="52"/>
        <v>1.9746266492677977</v>
      </c>
      <c r="AJ85" s="54"/>
      <c r="AK85" s="54">
        <f t="shared" ca="1" si="53"/>
        <v>2.1325967812092217</v>
      </c>
      <c r="AL85" s="54">
        <f t="shared" ca="1" si="66"/>
        <v>54.167958242714228</v>
      </c>
      <c r="AM85" s="27">
        <f t="shared" ca="1" si="37"/>
        <v>0.63977903436276651</v>
      </c>
      <c r="AN85" s="40">
        <f t="shared" ca="1" si="38"/>
        <v>1.4928177468464552</v>
      </c>
      <c r="AO85" s="27">
        <f t="shared" ca="1" si="39"/>
        <v>0.38970247933884294</v>
      </c>
      <c r="AP85" s="27">
        <f t="shared" ca="1" si="54"/>
        <v>0.60075371900826446</v>
      </c>
      <c r="AQ85" s="27">
        <f t="shared" ca="1" si="40"/>
        <v>1.5318430622009571</v>
      </c>
      <c r="AR85" s="27">
        <f t="shared" ca="1" si="41"/>
        <v>1</v>
      </c>
      <c r="AS85" s="27">
        <f t="shared" ca="1" si="55"/>
        <v>0</v>
      </c>
      <c r="AT85" s="28">
        <f t="shared" ca="1" si="42"/>
        <v>112.00326054856035</v>
      </c>
      <c r="AU85" s="27">
        <f t="shared" ca="1" si="67"/>
        <v>0</v>
      </c>
      <c r="AV85" s="51">
        <f t="shared" ca="1" si="68"/>
        <v>0</v>
      </c>
      <c r="AW85" s="51">
        <f t="shared" ca="1" si="43"/>
        <v>111.46252773166678</v>
      </c>
      <c r="AX85" s="27">
        <f t="shared" ca="1" si="69"/>
        <v>0</v>
      </c>
      <c r="AY85" s="54">
        <f t="shared" ca="1" si="44"/>
        <v>0.54073281689356767</v>
      </c>
      <c r="AZ85" s="91">
        <f t="shared" si="70"/>
        <v>118.92954178465109</v>
      </c>
      <c r="BA85" s="33">
        <f t="shared" ca="1" si="56"/>
        <v>0</v>
      </c>
      <c r="BB85" s="33">
        <f t="shared" ca="1" si="45"/>
        <v>6.9262812360907393</v>
      </c>
    </row>
    <row r="86" spans="2:54" x14ac:dyDescent="0.25">
      <c r="B86" s="18"/>
      <c r="D86" s="154">
        <v>42231</v>
      </c>
      <c r="E86" s="58">
        <v>0</v>
      </c>
      <c r="G86" s="18"/>
      <c r="J86" s="10"/>
      <c r="L86" s="83">
        <f t="shared" si="57"/>
        <v>0</v>
      </c>
      <c r="M86" s="68"/>
      <c r="N86" s="62">
        <v>42231</v>
      </c>
      <c r="O86" s="37">
        <f t="shared" si="58"/>
        <v>0</v>
      </c>
      <c r="P86" s="85">
        <f t="shared" si="59"/>
        <v>0</v>
      </c>
      <c r="Q86" s="85">
        <f t="shared" si="60"/>
        <v>0</v>
      </c>
      <c r="R86" s="84">
        <f t="shared" si="71"/>
        <v>79969.643497132027</v>
      </c>
      <c r="S86" s="86">
        <f t="shared" si="61"/>
        <v>1.8358504016788804</v>
      </c>
      <c r="T86" s="85">
        <f t="shared" si="62"/>
        <v>117.25754178465108</v>
      </c>
      <c r="U86" s="88">
        <f>LOOKUP(N86,'weather data'!$B$7:$B$158,'weather data'!$C$7:$C$158)</f>
        <v>0.02</v>
      </c>
      <c r="V86" s="88">
        <f t="shared" si="63"/>
        <v>0</v>
      </c>
      <c r="W86" s="88">
        <f t="shared" si="72"/>
        <v>1.6720000000000002</v>
      </c>
      <c r="X86" s="79">
        <f>LOOKUP(N86,'weather data'!$B$7:$B$158,'weather data'!$E$7:$E$158)</f>
        <v>0.24</v>
      </c>
      <c r="Y86" s="6">
        <v>1</v>
      </c>
      <c r="Z86" s="6">
        <v>76</v>
      </c>
      <c r="AA86" s="95">
        <f t="shared" si="51"/>
        <v>100.49586776859505</v>
      </c>
      <c r="AB86" s="94">
        <f ca="1">FORECAST(AA86,OFFSET(Soils!$K$41:$K$57,MATCH(AA86,Soils!$J$41:$J$57,1)-1,0,2),OFFSET(Soils!$J$41:$J$57,MATCH(AA86,Soils!$J$41:$J$57,1)-1,0,2))</f>
        <v>0.82099173553719007</v>
      </c>
      <c r="AC86" s="92">
        <f t="shared" ca="1" si="34"/>
        <v>1</v>
      </c>
      <c r="AD86" s="92">
        <f t="shared" ca="1" si="64"/>
        <v>0.82099173553719007</v>
      </c>
      <c r="AE86" s="87">
        <f t="shared" ca="1" si="65"/>
        <v>0.19703801652892561</v>
      </c>
      <c r="AF86" s="87">
        <f t="shared" ca="1" si="35"/>
        <v>0.19703801652892561</v>
      </c>
      <c r="AG86" s="87">
        <f t="shared" ca="1" si="36"/>
        <v>7.7240729716279306</v>
      </c>
      <c r="AH86" s="56">
        <f ca="1">FORECAST(AA86,OFFSET(Soils!$L$41:$L$57,MATCH(AA86,Soils!$J$41:$J$57,1)-1,0,2),OFFSET(Soils!$J$41:$J$57,MATCH(AA86,Soils!$J$41:$J$57,1)-1,0,2))</f>
        <v>1.0017398869073511</v>
      </c>
      <c r="AI86" s="27">
        <f t="shared" ca="1" si="52"/>
        <v>2</v>
      </c>
      <c r="AJ86" s="54"/>
      <c r="AK86" s="54">
        <f t="shared" ca="1" si="53"/>
        <v>2.16</v>
      </c>
      <c r="AL86" s="54">
        <f t="shared" ca="1" si="66"/>
        <v>54.863999999999997</v>
      </c>
      <c r="AM86" s="27">
        <f t="shared" ca="1" si="37"/>
        <v>0.64800000000000002</v>
      </c>
      <c r="AN86" s="40">
        <f t="shared" ca="1" si="38"/>
        <v>1.512</v>
      </c>
      <c r="AO86" s="27">
        <f t="shared" ca="1" si="39"/>
        <v>0.60075371900826446</v>
      </c>
      <c r="AP86" s="27">
        <f t="shared" ca="1" si="54"/>
        <v>0.79779173553719007</v>
      </c>
      <c r="AQ86" s="27">
        <f t="shared" ca="1" si="40"/>
        <v>1.3622082644628102</v>
      </c>
      <c r="AR86" s="27">
        <f t="shared" ca="1" si="41"/>
        <v>1</v>
      </c>
      <c r="AS86" s="27">
        <f t="shared" ca="1" si="55"/>
        <v>0</v>
      </c>
      <c r="AT86" s="28">
        <f t="shared" ca="1" si="42"/>
        <v>112.00326054856035</v>
      </c>
      <c r="AU86" s="27">
        <f t="shared" ca="1" si="67"/>
        <v>0</v>
      </c>
      <c r="AV86" s="51">
        <f t="shared" ca="1" si="68"/>
        <v>0</v>
      </c>
      <c r="AW86" s="51">
        <f t="shared" ca="1" si="43"/>
        <v>111.46252773166678</v>
      </c>
      <c r="AX86" s="27">
        <f t="shared" ca="1" si="69"/>
        <v>0</v>
      </c>
      <c r="AY86" s="54">
        <f t="shared" ca="1" si="44"/>
        <v>0.54073281689356767</v>
      </c>
      <c r="AZ86" s="91">
        <f t="shared" si="70"/>
        <v>118.92954178465109</v>
      </c>
      <c r="BA86" s="33">
        <f t="shared" ca="1" si="56"/>
        <v>0</v>
      </c>
      <c r="BB86" s="33">
        <f t="shared" ca="1" si="45"/>
        <v>6.9262812360907393</v>
      </c>
    </row>
    <row r="87" spans="2:54" x14ac:dyDescent="0.25">
      <c r="B87" s="18"/>
      <c r="D87" s="154">
        <v>42232</v>
      </c>
      <c r="E87" s="58">
        <v>0</v>
      </c>
      <c r="G87" s="18"/>
      <c r="J87" s="10"/>
      <c r="L87" s="83">
        <f t="shared" si="57"/>
        <v>0</v>
      </c>
      <c r="M87" s="68"/>
      <c r="N87" s="62">
        <v>42232</v>
      </c>
      <c r="O87" s="37">
        <f t="shared" si="58"/>
        <v>0</v>
      </c>
      <c r="P87" s="85">
        <f t="shared" si="59"/>
        <v>0</v>
      </c>
      <c r="Q87" s="85">
        <f t="shared" si="60"/>
        <v>0</v>
      </c>
      <c r="R87" s="84">
        <f t="shared" si="71"/>
        <v>79969.643497132027</v>
      </c>
      <c r="S87" s="86">
        <f t="shared" si="61"/>
        <v>1.8358504016788804</v>
      </c>
      <c r="T87" s="85">
        <f t="shared" si="62"/>
        <v>117.25754178465108</v>
      </c>
      <c r="U87" s="88">
        <f>LOOKUP(N87,'weather data'!$B$7:$B$158,'weather data'!$C$7:$C$158)</f>
        <v>0</v>
      </c>
      <c r="V87" s="88">
        <f t="shared" si="63"/>
        <v>0</v>
      </c>
      <c r="W87" s="88">
        <f t="shared" si="72"/>
        <v>1.6720000000000002</v>
      </c>
      <c r="X87" s="79">
        <f>LOOKUP(N87,'weather data'!$B$7:$B$158,'weather data'!$E$7:$E$158)</f>
        <v>0.21</v>
      </c>
      <c r="Y87" s="6">
        <v>1</v>
      </c>
      <c r="Z87" s="6">
        <v>77</v>
      </c>
      <c r="AA87" s="95">
        <f t="shared" si="51"/>
        <v>101.81818181818181</v>
      </c>
      <c r="AB87" s="94">
        <f ca="1">FORECAST(AA87,OFFSET(Soils!$K$41:$K$57,MATCH(AA87,Soils!$J$41:$J$57,1)-1,0,2),OFFSET(Soils!$J$41:$J$57,MATCH(AA87,Soils!$J$41:$J$57,1)-1,0,2))</f>
        <v>0.82363636363636361</v>
      </c>
      <c r="AC87" s="92">
        <f t="shared" ca="1" si="34"/>
        <v>0.90093139184048288</v>
      </c>
      <c r="AD87" s="92">
        <f t="shared" ca="1" si="64"/>
        <v>0.7420398554613431</v>
      </c>
      <c r="AE87" s="87">
        <f t="shared" ca="1" si="65"/>
        <v>0.17296363636363635</v>
      </c>
      <c r="AF87" s="87">
        <f t="shared" ca="1" si="35"/>
        <v>0.15582836964688204</v>
      </c>
      <c r="AG87" s="87">
        <f t="shared" ca="1" si="36"/>
        <v>7.8799013412748122</v>
      </c>
      <c r="AH87" s="56">
        <f ca="1">FORECAST(AA87,OFFSET(Soils!$L$41:$L$57,MATCH(AA87,Soils!$J$41:$J$57,1)-1,0,2),OFFSET(Soils!$J$41:$J$57,MATCH(AA87,Soils!$J$41:$J$57,1)-1,0,2))</f>
        <v>1.0063795853269537</v>
      </c>
      <c r="AI87" s="27">
        <f t="shared" ca="1" si="52"/>
        <v>2</v>
      </c>
      <c r="AJ87" s="54"/>
      <c r="AK87" s="54">
        <f t="shared" ca="1" si="53"/>
        <v>2.16</v>
      </c>
      <c r="AL87" s="54">
        <f t="shared" ca="1" si="66"/>
        <v>54.863999999999997</v>
      </c>
      <c r="AM87" s="27">
        <f t="shared" ca="1" si="37"/>
        <v>0.64800000000000002</v>
      </c>
      <c r="AN87" s="40">
        <f t="shared" ca="1" si="38"/>
        <v>1.512</v>
      </c>
      <c r="AO87" s="27">
        <f t="shared" ca="1" si="39"/>
        <v>0.79779173553719007</v>
      </c>
      <c r="AP87" s="27">
        <f t="shared" ca="1" si="54"/>
        <v>0.95362010518407214</v>
      </c>
      <c r="AQ87" s="27">
        <f t="shared" ca="1" si="40"/>
        <v>1.2063798948159281</v>
      </c>
      <c r="AR87" s="27">
        <f t="shared" ca="1" si="41"/>
        <v>0.90093139184048288</v>
      </c>
      <c r="AS87" s="27">
        <f t="shared" ca="1" si="55"/>
        <v>0</v>
      </c>
      <c r="AT87" s="28">
        <f t="shared" ca="1" si="42"/>
        <v>112.00326054856035</v>
      </c>
      <c r="AU87" s="27">
        <f t="shared" ca="1" si="67"/>
        <v>0</v>
      </c>
      <c r="AV87" s="51">
        <f t="shared" ca="1" si="68"/>
        <v>0</v>
      </c>
      <c r="AW87" s="51">
        <f t="shared" ca="1" si="43"/>
        <v>111.46252773166678</v>
      </c>
      <c r="AX87" s="27">
        <f t="shared" ca="1" si="69"/>
        <v>0</v>
      </c>
      <c r="AY87" s="54">
        <f t="shared" ca="1" si="44"/>
        <v>0.54073281689356767</v>
      </c>
      <c r="AZ87" s="91">
        <f t="shared" si="70"/>
        <v>118.92954178465109</v>
      </c>
      <c r="BA87" s="33">
        <f t="shared" ca="1" si="56"/>
        <v>0</v>
      </c>
      <c r="BB87" s="33">
        <f t="shared" ca="1" si="45"/>
        <v>6.9262812360907393</v>
      </c>
    </row>
    <row r="88" spans="2:54" x14ac:dyDescent="0.25">
      <c r="B88" s="18"/>
      <c r="D88" s="154">
        <v>42233</v>
      </c>
      <c r="E88" s="58">
        <f>B33</f>
        <v>5156.5872921448799</v>
      </c>
      <c r="G88" s="18"/>
      <c r="J88" s="10"/>
      <c r="L88" s="83">
        <f t="shared" si="57"/>
        <v>5156.5872921448799</v>
      </c>
      <c r="M88" s="68"/>
      <c r="N88" s="62">
        <v>42233</v>
      </c>
      <c r="O88" s="37">
        <f t="shared" si="58"/>
        <v>5156.5872921448799</v>
      </c>
      <c r="P88" s="85">
        <f t="shared" si="59"/>
        <v>7.5609784342300284</v>
      </c>
      <c r="Q88" s="85">
        <f t="shared" si="60"/>
        <v>192.0488522294427</v>
      </c>
      <c r="R88" s="84">
        <f t="shared" si="71"/>
        <v>85126.230789276902</v>
      </c>
      <c r="S88" s="86">
        <f t="shared" si="61"/>
        <v>1.9542293569622797</v>
      </c>
      <c r="T88" s="85">
        <f t="shared" si="62"/>
        <v>124.81852021888109</v>
      </c>
      <c r="U88" s="88">
        <f>LOOKUP(N88,'weather data'!$B$7:$B$158,'weather data'!$C$7:$C$158)</f>
        <v>0</v>
      </c>
      <c r="V88" s="88">
        <f t="shared" si="63"/>
        <v>0</v>
      </c>
      <c r="W88" s="88">
        <f t="shared" si="72"/>
        <v>1.6720000000000002</v>
      </c>
      <c r="X88" s="79">
        <f>LOOKUP(N88,'weather data'!$B$7:$B$158,'weather data'!$E$7:$E$158)</f>
        <v>0.25</v>
      </c>
      <c r="Y88" s="6">
        <v>1</v>
      </c>
      <c r="Z88" s="6">
        <v>78</v>
      </c>
      <c r="AA88" s="95">
        <f t="shared" si="51"/>
        <v>103.14049586776859</v>
      </c>
      <c r="AB88" s="94">
        <f ca="1">FORECAST(AA88,OFFSET(Soils!$K$41:$K$57,MATCH(AA88,Soils!$J$41:$J$57,1)-1,0,2),OFFSET(Soils!$J$41:$J$57,MATCH(AA88,Soils!$J$41:$J$57,1)-1,0,2))</f>
        <v>0.82628099173553715</v>
      </c>
      <c r="AC88" s="92">
        <f t="shared" ca="1" si="34"/>
        <v>0.79787030080418531</v>
      </c>
      <c r="AD88" s="92">
        <f t="shared" ca="1" si="64"/>
        <v>0.65926506342481361</v>
      </c>
      <c r="AE88" s="87">
        <f t="shared" ca="1" si="65"/>
        <v>0.20657024793388429</v>
      </c>
      <c r="AF88" s="87">
        <f t="shared" ca="1" si="35"/>
        <v>0.1648162658562034</v>
      </c>
      <c r="AG88" s="87">
        <f t="shared" ca="1" si="36"/>
        <v>8.044717607131016</v>
      </c>
      <c r="AH88" s="56">
        <f ca="1">FORECAST(AA88,OFFSET(Soils!$L$41:$L$57,MATCH(AA88,Soils!$J$41:$J$57,1)-1,0,2),OFFSET(Soils!$J$41:$J$57,MATCH(AA88,Soils!$J$41:$J$57,1)-1,0,2))</f>
        <v>1.0110192837465566</v>
      </c>
      <c r="AI88" s="27">
        <f t="shared" ca="1" si="52"/>
        <v>2</v>
      </c>
      <c r="AJ88" s="54"/>
      <c r="AK88" s="54">
        <f t="shared" ca="1" si="53"/>
        <v>2.16</v>
      </c>
      <c r="AL88" s="54">
        <f t="shared" ca="1" si="66"/>
        <v>54.863999999999997</v>
      </c>
      <c r="AM88" s="27">
        <f t="shared" ca="1" si="37"/>
        <v>0.64800000000000002</v>
      </c>
      <c r="AN88" s="40">
        <f t="shared" ca="1" si="38"/>
        <v>1.512</v>
      </c>
      <c r="AO88" s="27">
        <f t="shared" ca="1" si="39"/>
        <v>0.95362010518407214</v>
      </c>
      <c r="AP88" s="27">
        <f t="shared" ca="1" si="54"/>
        <v>0</v>
      </c>
      <c r="AQ88" s="27">
        <f t="shared" ca="1" si="40"/>
        <v>2.16</v>
      </c>
      <c r="AR88" s="27">
        <f t="shared" ca="1" si="41"/>
        <v>0.79787030080418531</v>
      </c>
      <c r="AS88" s="27">
        <f t="shared" ca="1" si="55"/>
        <v>6.4425420631897525</v>
      </c>
      <c r="AT88" s="28">
        <f t="shared" ca="1" si="42"/>
        <v>118.4458026117501</v>
      </c>
      <c r="AU88" s="27">
        <f t="shared" ca="1" si="67"/>
        <v>6.4425420631897525</v>
      </c>
      <c r="AV88" s="51">
        <f t="shared" ca="1" si="68"/>
        <v>163.64056840501971</v>
      </c>
      <c r="AW88" s="51">
        <f t="shared" ca="1" si="43"/>
        <v>117.90506979485653</v>
      </c>
      <c r="AX88" s="27">
        <f t="shared" ca="1" si="69"/>
        <v>0</v>
      </c>
      <c r="AY88" s="54">
        <f t="shared" ca="1" si="44"/>
        <v>0.54073281689356767</v>
      </c>
      <c r="AZ88" s="91">
        <f t="shared" si="70"/>
        <v>126.49052021888112</v>
      </c>
      <c r="BA88" s="33">
        <f t="shared" ca="1" si="56"/>
        <v>1.1184363710402758</v>
      </c>
      <c r="BB88" s="33">
        <f t="shared" ca="1" si="45"/>
        <v>8.044717607131016</v>
      </c>
    </row>
    <row r="89" spans="2:54" x14ac:dyDescent="0.25">
      <c r="B89" s="18"/>
      <c r="D89" s="154">
        <v>42234</v>
      </c>
      <c r="E89" s="58">
        <v>0</v>
      </c>
      <c r="G89" s="18"/>
      <c r="J89" s="10"/>
      <c r="L89" s="83">
        <f t="shared" si="57"/>
        <v>0</v>
      </c>
      <c r="M89" s="68"/>
      <c r="N89" s="62">
        <v>42234</v>
      </c>
      <c r="O89" s="37">
        <f t="shared" si="58"/>
        <v>0</v>
      </c>
      <c r="P89" s="85">
        <f t="shared" si="59"/>
        <v>0</v>
      </c>
      <c r="Q89" s="85">
        <f t="shared" si="60"/>
        <v>0</v>
      </c>
      <c r="R89" s="84">
        <f t="shared" si="71"/>
        <v>85126.230789276902</v>
      </c>
      <c r="S89" s="86">
        <f t="shared" si="61"/>
        <v>1.9542293569622797</v>
      </c>
      <c r="T89" s="85">
        <f t="shared" si="62"/>
        <v>124.81852021888109</v>
      </c>
      <c r="U89" s="88">
        <f>LOOKUP(N89,'weather data'!$B$7:$B$158,'weather data'!$C$7:$C$158)</f>
        <v>0</v>
      </c>
      <c r="V89" s="88">
        <f t="shared" si="63"/>
        <v>0</v>
      </c>
      <c r="W89" s="88">
        <f t="shared" si="72"/>
        <v>1.6720000000000002</v>
      </c>
      <c r="X89" s="79">
        <f>LOOKUP(N89,'weather data'!$B$7:$B$158,'weather data'!$E$7:$E$158)</f>
        <v>0.23</v>
      </c>
      <c r="Y89" s="6">
        <v>1</v>
      </c>
      <c r="Z89" s="6">
        <v>79</v>
      </c>
      <c r="AA89" s="95">
        <f t="shared" si="51"/>
        <v>104.46280991735537</v>
      </c>
      <c r="AB89" s="94">
        <f ca="1">FORECAST(AA89,OFFSET(Soils!$K$41:$K$57,MATCH(AA89,Soils!$J$41:$J$57,1)-1,0,2),OFFSET(Soils!$J$41:$J$57,MATCH(AA89,Soils!$J$41:$J$57,1)-1,0,2))</f>
        <v>0.82892561983471069</v>
      </c>
      <c r="AC89" s="92">
        <f t="shared" ref="AC89:AC127" ca="1" si="73">IF(AO89&lt;=AM89,1,(AK89-AO89)/(AK89-AM89))</f>
        <v>1</v>
      </c>
      <c r="AD89" s="92">
        <f t="shared" ca="1" si="64"/>
        <v>0.82892561983471069</v>
      </c>
      <c r="AE89" s="87">
        <f t="shared" ca="1" si="65"/>
        <v>0.19065289256198348</v>
      </c>
      <c r="AF89" s="87">
        <f t="shared" ref="AF89:AF127" ca="1" si="74">AC89*AE89</f>
        <v>0.19065289256198348</v>
      </c>
      <c r="AG89" s="87">
        <f t="shared" ref="AG89:AG127" ca="1" si="75">AF89+AG88</f>
        <v>8.2353704996929995</v>
      </c>
      <c r="AH89" s="56">
        <f ca="1">FORECAST(AA89,OFFSET(Soils!$L$41:$L$57,MATCH(AA89,Soils!$J$41:$J$57,1)-1,0,2),OFFSET(Soils!$J$41:$J$57,MATCH(AA89,Soils!$J$41:$J$57,1)-1,0,2))</f>
        <v>1.0156589821661592</v>
      </c>
      <c r="AI89" s="27">
        <f t="shared" ca="1" si="52"/>
        <v>2</v>
      </c>
      <c r="AJ89" s="54"/>
      <c r="AK89" s="54">
        <f t="shared" ca="1" si="53"/>
        <v>2.16</v>
      </c>
      <c r="AL89" s="54">
        <f t="shared" ca="1" si="66"/>
        <v>54.863999999999997</v>
      </c>
      <c r="AM89" s="27">
        <f t="shared" ref="AM89:AM127" ca="1" si="76">AK89*$B$4</f>
        <v>0.64800000000000002</v>
      </c>
      <c r="AN89" s="40">
        <f t="shared" ref="AN89:AN127" ca="1" si="77">AK89-AM89</f>
        <v>1.512</v>
      </c>
      <c r="AO89" s="27">
        <f t="shared" ref="AO89:AO127" ca="1" si="78">AP88</f>
        <v>0</v>
      </c>
      <c r="AP89" s="27">
        <f t="shared" ca="1" si="54"/>
        <v>0.19065289256198348</v>
      </c>
      <c r="AQ89" s="27">
        <f t="shared" ref="AQ89:AQ127" ca="1" si="79">AK89-AP89</f>
        <v>1.9693471074380167</v>
      </c>
      <c r="AR89" s="27">
        <f t="shared" ref="AR89:AR127" ca="1" si="80">IF(AE89=0,"",AF89/AE89)</f>
        <v>1</v>
      </c>
      <c r="AS89" s="27">
        <f t="shared" ca="1" si="55"/>
        <v>0</v>
      </c>
      <c r="AT89" s="28">
        <f t="shared" ref="AT89:AT127" ca="1" si="81">AS89+AT88</f>
        <v>118.4458026117501</v>
      </c>
      <c r="AU89" s="27">
        <f t="shared" ca="1" si="67"/>
        <v>0</v>
      </c>
      <c r="AV89" s="51">
        <f t="shared" ca="1" si="68"/>
        <v>0</v>
      </c>
      <c r="AW89" s="51">
        <f t="shared" ref="AW89:AW127" ca="1" si="82">AU89+AW88</f>
        <v>117.90506979485653</v>
      </c>
      <c r="AX89" s="27">
        <f t="shared" ca="1" si="69"/>
        <v>0</v>
      </c>
      <c r="AY89" s="54">
        <f t="shared" ref="AY89:AY127" ca="1" si="83">AX89+AY88</f>
        <v>0.54073281689356767</v>
      </c>
      <c r="AZ89" s="91">
        <f t="shared" si="70"/>
        <v>126.49052021888112</v>
      </c>
      <c r="BA89" s="33">
        <f t="shared" ca="1" si="56"/>
        <v>0</v>
      </c>
      <c r="BB89" s="33">
        <f t="shared" ref="BB89:BB127" ca="1" si="84">BA89+BB88</f>
        <v>8.044717607131016</v>
      </c>
    </row>
    <row r="90" spans="2:54" x14ac:dyDescent="0.25">
      <c r="B90" s="18"/>
      <c r="D90" s="154">
        <v>42235</v>
      </c>
      <c r="E90" s="58">
        <f>B34</f>
        <v>2812.6839775335679</v>
      </c>
      <c r="G90" s="18"/>
      <c r="J90" s="10"/>
      <c r="L90" s="83">
        <f t="shared" si="57"/>
        <v>2812.6839775335679</v>
      </c>
      <c r="M90" s="68"/>
      <c r="N90" s="62">
        <v>42235</v>
      </c>
      <c r="O90" s="37">
        <f t="shared" si="58"/>
        <v>2812.6839775335679</v>
      </c>
      <c r="P90" s="85">
        <f t="shared" si="59"/>
        <v>4.1241700550345568</v>
      </c>
      <c r="Q90" s="85">
        <f t="shared" si="60"/>
        <v>104.75391939787774</v>
      </c>
      <c r="R90" s="84">
        <f t="shared" si="71"/>
        <v>87938.914766810471</v>
      </c>
      <c r="S90" s="86">
        <f t="shared" si="61"/>
        <v>2.0187996962077701</v>
      </c>
      <c r="T90" s="85">
        <f t="shared" si="62"/>
        <v>128.94269027391564</v>
      </c>
      <c r="U90" s="88">
        <f>LOOKUP(N90,'weather data'!$B$7:$B$158,'weather data'!$C$7:$C$158)</f>
        <v>0</v>
      </c>
      <c r="V90" s="88">
        <f t="shared" si="63"/>
        <v>0</v>
      </c>
      <c r="W90" s="88">
        <f t="shared" si="72"/>
        <v>1.6720000000000002</v>
      </c>
      <c r="X90" s="79">
        <f>LOOKUP(N90,'weather data'!$B$7:$B$158,'weather data'!$E$7:$E$158)</f>
        <v>0.21</v>
      </c>
      <c r="Y90" s="6">
        <v>1</v>
      </c>
      <c r="Z90" s="6">
        <v>80</v>
      </c>
      <c r="AA90" s="95">
        <f t="shared" si="51"/>
        <v>105.78512396694215</v>
      </c>
      <c r="AB90" s="94">
        <f ca="1">FORECAST(AA90,OFFSET(Soils!$K$41:$K$57,MATCH(AA90,Soils!$J$41:$J$57,1)-1,0,2),OFFSET(Soils!$J$41:$J$57,MATCH(AA90,Soils!$J$41:$J$57,1)-1,0,2))</f>
        <v>0.83157024793388423</v>
      </c>
      <c r="AC90" s="92">
        <f t="shared" ca="1" si="73"/>
        <v>1</v>
      </c>
      <c r="AD90" s="92">
        <f t="shared" ca="1" si="64"/>
        <v>0.83157024793388423</v>
      </c>
      <c r="AE90" s="87">
        <f t="shared" ca="1" si="65"/>
        <v>0.1746297520661157</v>
      </c>
      <c r="AF90" s="87">
        <f t="shared" ca="1" si="74"/>
        <v>0.1746297520661157</v>
      </c>
      <c r="AG90" s="87">
        <f t="shared" ca="1" si="75"/>
        <v>8.410000251759115</v>
      </c>
      <c r="AH90" s="56">
        <f ca="1">FORECAST(AA90,OFFSET(Soils!$L$41:$L$57,MATCH(AA90,Soils!$J$41:$J$57,1)-1,0,2),OFFSET(Soils!$J$41:$J$57,MATCH(AA90,Soils!$J$41:$J$57,1)-1,0,2))</f>
        <v>1.0202986805857619</v>
      </c>
      <c r="AI90" s="27">
        <f t="shared" ca="1" si="52"/>
        <v>2</v>
      </c>
      <c r="AJ90" s="54"/>
      <c r="AK90" s="54">
        <f t="shared" ca="1" si="53"/>
        <v>2.16</v>
      </c>
      <c r="AL90" s="54">
        <f t="shared" ca="1" si="66"/>
        <v>54.863999999999997</v>
      </c>
      <c r="AM90" s="27">
        <f t="shared" ca="1" si="76"/>
        <v>0.64800000000000002</v>
      </c>
      <c r="AN90" s="40">
        <f t="shared" ca="1" si="77"/>
        <v>1.512</v>
      </c>
      <c r="AO90" s="27">
        <f t="shared" ca="1" si="78"/>
        <v>0.19065289256198348</v>
      </c>
      <c r="AP90" s="27">
        <f t="shared" ca="1" si="54"/>
        <v>0</v>
      </c>
      <c r="AQ90" s="27">
        <f t="shared" ca="1" si="79"/>
        <v>2.16</v>
      </c>
      <c r="AR90" s="27">
        <f t="shared" ca="1" si="80"/>
        <v>1</v>
      </c>
      <c r="AS90" s="27">
        <f t="shared" ca="1" si="55"/>
        <v>3.7588874104064578</v>
      </c>
      <c r="AT90" s="28">
        <f t="shared" ca="1" si="81"/>
        <v>122.20469002215656</v>
      </c>
      <c r="AU90" s="27">
        <f t="shared" ca="1" si="67"/>
        <v>3.7588874104064578</v>
      </c>
      <c r="AV90" s="51">
        <f t="shared" ca="1" si="68"/>
        <v>95.475740224324028</v>
      </c>
      <c r="AW90" s="51">
        <f t="shared" ca="1" si="82"/>
        <v>121.66395720526299</v>
      </c>
      <c r="AX90" s="27">
        <f t="shared" ca="1" si="69"/>
        <v>0</v>
      </c>
      <c r="AY90" s="54">
        <f t="shared" ca="1" si="83"/>
        <v>0.54073281689356767</v>
      </c>
      <c r="AZ90" s="91">
        <f t="shared" si="70"/>
        <v>130.61469027391567</v>
      </c>
      <c r="BA90" s="33">
        <f t="shared" ca="1" si="56"/>
        <v>0.36528264462809901</v>
      </c>
      <c r="BB90" s="33">
        <f t="shared" ca="1" si="84"/>
        <v>8.410000251759115</v>
      </c>
    </row>
    <row r="91" spans="2:54" x14ac:dyDescent="0.25">
      <c r="B91" s="18"/>
      <c r="D91" s="154">
        <v>42236</v>
      </c>
      <c r="E91" s="58">
        <v>0</v>
      </c>
      <c r="G91" s="18"/>
      <c r="J91" s="10"/>
      <c r="L91" s="83">
        <f t="shared" si="57"/>
        <v>0</v>
      </c>
      <c r="M91" s="68"/>
      <c r="N91" s="62">
        <v>42236</v>
      </c>
      <c r="O91" s="37">
        <f t="shared" si="58"/>
        <v>0</v>
      </c>
      <c r="P91" s="85">
        <f t="shared" si="59"/>
        <v>0</v>
      </c>
      <c r="Q91" s="85">
        <f t="shared" si="60"/>
        <v>0</v>
      </c>
      <c r="R91" s="84">
        <f t="shared" si="71"/>
        <v>87938.914766810471</v>
      </c>
      <c r="S91" s="86">
        <f t="shared" si="61"/>
        <v>2.0187996962077701</v>
      </c>
      <c r="T91" s="85">
        <f t="shared" si="62"/>
        <v>128.94269027391564</v>
      </c>
      <c r="U91" s="88">
        <f>LOOKUP(N91,'weather data'!$B$7:$B$158,'weather data'!$C$7:$C$158)</f>
        <v>0</v>
      </c>
      <c r="V91" s="88">
        <f t="shared" si="63"/>
        <v>0</v>
      </c>
      <c r="W91" s="88">
        <f t="shared" si="72"/>
        <v>1.6720000000000002</v>
      </c>
      <c r="X91" s="79">
        <f>LOOKUP(N91,'weather data'!$B$7:$B$158,'weather data'!$E$7:$E$158)</f>
        <v>0.22</v>
      </c>
      <c r="Y91" s="6">
        <v>1</v>
      </c>
      <c r="Z91" s="6">
        <v>81</v>
      </c>
      <c r="AA91" s="95">
        <f t="shared" si="51"/>
        <v>107.10743801652893</v>
      </c>
      <c r="AB91" s="94">
        <f ca="1">FORECAST(AA91,OFFSET(Soils!$K$41:$K$57,MATCH(AA91,Soils!$J$41:$J$57,1)-1,0,2),OFFSET(Soils!$J$41:$J$57,MATCH(AA91,Soils!$J$41:$J$57,1)-1,0,2))</f>
        <v>0.83421487603305788</v>
      </c>
      <c r="AC91" s="92">
        <f t="shared" ca="1" si="73"/>
        <v>1</v>
      </c>
      <c r="AD91" s="92">
        <f t="shared" ca="1" si="64"/>
        <v>0.83421487603305788</v>
      </c>
      <c r="AE91" s="87">
        <f t="shared" ca="1" si="65"/>
        <v>0.18352727272727273</v>
      </c>
      <c r="AF91" s="87">
        <f t="shared" ca="1" si="74"/>
        <v>0.18352727272727273</v>
      </c>
      <c r="AG91" s="87">
        <f t="shared" ca="1" si="75"/>
        <v>8.5935275244863885</v>
      </c>
      <c r="AH91" s="56">
        <f ca="1">FORECAST(AA91,OFFSET(Soils!$L$41:$L$57,MATCH(AA91,Soils!$J$41:$J$57,1)-1,0,2),OFFSET(Soils!$J$41:$J$57,MATCH(AA91,Soils!$J$41:$J$57,1)-1,0,2))</f>
        <v>1.0249383790053648</v>
      </c>
      <c r="AI91" s="27">
        <f t="shared" ca="1" si="52"/>
        <v>2</v>
      </c>
      <c r="AJ91" s="54"/>
      <c r="AK91" s="54">
        <f t="shared" ca="1" si="53"/>
        <v>2.16</v>
      </c>
      <c r="AL91" s="54">
        <f t="shared" ca="1" si="66"/>
        <v>54.863999999999997</v>
      </c>
      <c r="AM91" s="27">
        <f t="shared" ca="1" si="76"/>
        <v>0.64800000000000002</v>
      </c>
      <c r="AN91" s="40">
        <f t="shared" ca="1" si="77"/>
        <v>1.512</v>
      </c>
      <c r="AO91" s="27">
        <f t="shared" ca="1" si="78"/>
        <v>0</v>
      </c>
      <c r="AP91" s="27">
        <f t="shared" ca="1" si="54"/>
        <v>0.18352727272727273</v>
      </c>
      <c r="AQ91" s="27">
        <f t="shared" ca="1" si="79"/>
        <v>1.9764727272727274</v>
      </c>
      <c r="AR91" s="27">
        <f t="shared" ca="1" si="80"/>
        <v>1</v>
      </c>
      <c r="AS91" s="27">
        <f t="shared" ca="1" si="55"/>
        <v>0</v>
      </c>
      <c r="AT91" s="28">
        <f t="shared" ca="1" si="81"/>
        <v>122.20469002215656</v>
      </c>
      <c r="AU91" s="27">
        <f t="shared" ca="1" si="67"/>
        <v>0</v>
      </c>
      <c r="AV91" s="51">
        <f t="shared" ca="1" si="68"/>
        <v>0</v>
      </c>
      <c r="AW91" s="51">
        <f t="shared" ca="1" si="82"/>
        <v>121.66395720526299</v>
      </c>
      <c r="AX91" s="27">
        <f t="shared" ca="1" si="69"/>
        <v>0</v>
      </c>
      <c r="AY91" s="54">
        <f t="shared" ca="1" si="83"/>
        <v>0.54073281689356767</v>
      </c>
      <c r="AZ91" s="91">
        <f t="shared" si="70"/>
        <v>130.61469027391567</v>
      </c>
      <c r="BA91" s="33">
        <f t="shared" ca="1" si="56"/>
        <v>0</v>
      </c>
      <c r="BB91" s="33">
        <f t="shared" ca="1" si="84"/>
        <v>8.410000251759115</v>
      </c>
    </row>
    <row r="92" spans="2:54" x14ac:dyDescent="0.25">
      <c r="B92" s="18"/>
      <c r="D92" s="154">
        <v>42237</v>
      </c>
      <c r="E92" s="58">
        <f>B35</f>
        <v>2561.473770865317</v>
      </c>
      <c r="G92" s="18"/>
      <c r="J92" s="10"/>
      <c r="L92" s="83">
        <f t="shared" si="57"/>
        <v>2561.473770865317</v>
      </c>
      <c r="M92" s="68"/>
      <c r="N92" s="62">
        <v>42237</v>
      </c>
      <c r="O92" s="37">
        <f t="shared" si="58"/>
        <v>2561.473770865317</v>
      </c>
      <c r="P92" s="85">
        <f t="shared" si="59"/>
        <v>3.7558266434975325</v>
      </c>
      <c r="Q92" s="85">
        <f t="shared" si="60"/>
        <v>95.397996744837315</v>
      </c>
      <c r="R92" s="84">
        <f t="shared" si="71"/>
        <v>90500.388537675783</v>
      </c>
      <c r="S92" s="86">
        <f t="shared" si="61"/>
        <v>2.0776030426463676</v>
      </c>
      <c r="T92" s="85">
        <f t="shared" si="62"/>
        <v>132.69851691741314</v>
      </c>
      <c r="U92" s="88">
        <f>LOOKUP(N92,'weather data'!$B$7:$B$158,'weather data'!$C$7:$C$158)</f>
        <v>0</v>
      </c>
      <c r="V92" s="88">
        <f t="shared" si="63"/>
        <v>0</v>
      </c>
      <c r="W92" s="88">
        <f t="shared" si="72"/>
        <v>1.6720000000000002</v>
      </c>
      <c r="X92" s="79">
        <f>LOOKUP(N92,'weather data'!$B$7:$B$158,'weather data'!$E$7:$E$158)</f>
        <v>0.27</v>
      </c>
      <c r="Y92" s="6">
        <v>1</v>
      </c>
      <c r="Z92" s="6">
        <v>82</v>
      </c>
      <c r="AA92" s="95">
        <f t="shared" si="51"/>
        <v>108.4297520661157</v>
      </c>
      <c r="AB92" s="94">
        <f ca="1">FORECAST(AA92,OFFSET(Soils!$K$41:$K$57,MATCH(AA92,Soils!$J$41:$J$57,1)-1,0,2),OFFSET(Soils!$J$41:$J$57,MATCH(AA92,Soils!$J$41:$J$57,1)-1,0,2))</f>
        <v>0.83685950413223131</v>
      </c>
      <c r="AC92" s="92">
        <f t="shared" ca="1" si="73"/>
        <v>1</v>
      </c>
      <c r="AD92" s="92">
        <f t="shared" ca="1" si="64"/>
        <v>0.83685950413223131</v>
      </c>
      <c r="AE92" s="87">
        <f t="shared" ca="1" si="65"/>
        <v>0.22595206611570248</v>
      </c>
      <c r="AF92" s="87">
        <f t="shared" ca="1" si="74"/>
        <v>0.22595206611570248</v>
      </c>
      <c r="AG92" s="87">
        <f t="shared" ca="1" si="75"/>
        <v>8.8194795906020911</v>
      </c>
      <c r="AH92" s="56">
        <f ca="1">FORECAST(AA92,OFFSET(Soils!$L$41:$L$57,MATCH(AA92,Soils!$J$41:$J$57,1)-1,0,2),OFFSET(Soils!$J$41:$J$57,MATCH(AA92,Soils!$J$41:$J$57,1)-1,0,2))</f>
        <v>1.0295780774249674</v>
      </c>
      <c r="AI92" s="27">
        <f t="shared" ca="1" si="52"/>
        <v>2</v>
      </c>
      <c r="AJ92" s="54"/>
      <c r="AK92" s="54">
        <f t="shared" ca="1" si="53"/>
        <v>2.16</v>
      </c>
      <c r="AL92" s="54">
        <f t="shared" ca="1" si="66"/>
        <v>54.863999999999997</v>
      </c>
      <c r="AM92" s="27">
        <f t="shared" ca="1" si="76"/>
        <v>0.64800000000000002</v>
      </c>
      <c r="AN92" s="40">
        <f t="shared" ca="1" si="77"/>
        <v>1.512</v>
      </c>
      <c r="AO92" s="27">
        <f t="shared" ca="1" si="78"/>
        <v>0.18352727272727273</v>
      </c>
      <c r="AP92" s="27">
        <f t="shared" ca="1" si="54"/>
        <v>0</v>
      </c>
      <c r="AQ92" s="27">
        <f t="shared" ca="1" si="79"/>
        <v>2.16</v>
      </c>
      <c r="AR92" s="27">
        <f t="shared" ca="1" si="80"/>
        <v>1</v>
      </c>
      <c r="AS92" s="27">
        <f t="shared" ca="1" si="55"/>
        <v>3.3463473046545573</v>
      </c>
      <c r="AT92" s="28">
        <f t="shared" ca="1" si="81"/>
        <v>125.55103732681111</v>
      </c>
      <c r="AU92" s="27">
        <f t="shared" ca="1" si="67"/>
        <v>3.3463473046545573</v>
      </c>
      <c r="AV92" s="51">
        <f t="shared" ca="1" si="68"/>
        <v>84.997221538225745</v>
      </c>
      <c r="AW92" s="51">
        <f t="shared" ca="1" si="82"/>
        <v>125.01030450991755</v>
      </c>
      <c r="AX92" s="27">
        <f t="shared" ca="1" si="69"/>
        <v>0</v>
      </c>
      <c r="AY92" s="54">
        <f t="shared" ca="1" si="83"/>
        <v>0.54073281689356767</v>
      </c>
      <c r="AZ92" s="91">
        <f t="shared" si="70"/>
        <v>134.3705169174132</v>
      </c>
      <c r="BA92" s="33">
        <f t="shared" ca="1" si="56"/>
        <v>0.40947933884297516</v>
      </c>
      <c r="BB92" s="33">
        <f t="shared" ca="1" si="84"/>
        <v>8.8194795906020893</v>
      </c>
    </row>
    <row r="93" spans="2:54" x14ac:dyDescent="0.25">
      <c r="B93" s="18"/>
      <c r="D93" s="154">
        <v>42238</v>
      </c>
      <c r="E93" s="58">
        <v>0</v>
      </c>
      <c r="G93" s="18"/>
      <c r="J93" s="10"/>
      <c r="L93" s="83">
        <f t="shared" si="57"/>
        <v>0</v>
      </c>
      <c r="M93" s="68"/>
      <c r="N93" s="62">
        <v>42238</v>
      </c>
      <c r="O93" s="37">
        <f t="shared" si="58"/>
        <v>0</v>
      </c>
      <c r="P93" s="85">
        <f t="shared" si="59"/>
        <v>0</v>
      </c>
      <c r="Q93" s="85">
        <f t="shared" si="60"/>
        <v>0</v>
      </c>
      <c r="R93" s="84">
        <f t="shared" si="71"/>
        <v>90500.388537675783</v>
      </c>
      <c r="S93" s="86">
        <f t="shared" si="61"/>
        <v>2.0776030426463676</v>
      </c>
      <c r="T93" s="85">
        <f t="shared" si="62"/>
        <v>132.69851691741314</v>
      </c>
      <c r="U93" s="88">
        <f>LOOKUP(N93,'weather data'!$B$7:$B$158,'weather data'!$C$7:$C$158)</f>
        <v>0</v>
      </c>
      <c r="V93" s="88">
        <f t="shared" si="63"/>
        <v>0</v>
      </c>
      <c r="W93" s="88">
        <f t="shared" si="72"/>
        <v>1.6720000000000002</v>
      </c>
      <c r="X93" s="79">
        <f>LOOKUP(N93,'weather data'!$B$7:$B$158,'weather data'!$E$7:$E$158)</f>
        <v>0.22</v>
      </c>
      <c r="Y93" s="6">
        <v>1</v>
      </c>
      <c r="Z93" s="6">
        <v>83</v>
      </c>
      <c r="AA93" s="95">
        <f t="shared" si="51"/>
        <v>109.75206611570248</v>
      </c>
      <c r="AB93" s="94">
        <f ca="1">FORECAST(AA93,OFFSET(Soils!$K$41:$K$57,MATCH(AA93,Soils!$J$41:$J$57,1)-1,0,2),OFFSET(Soils!$J$41:$J$57,MATCH(AA93,Soils!$J$41:$J$57,1)-1,0,2))</f>
        <v>0.83950413223140496</v>
      </c>
      <c r="AC93" s="92">
        <f t="shared" ca="1" si="73"/>
        <v>1</v>
      </c>
      <c r="AD93" s="92">
        <f t="shared" ca="1" si="64"/>
        <v>0.83950413223140496</v>
      </c>
      <c r="AE93" s="87">
        <f t="shared" ca="1" si="65"/>
        <v>0.1846909090909091</v>
      </c>
      <c r="AF93" s="87">
        <f t="shared" ca="1" si="74"/>
        <v>0.1846909090909091</v>
      </c>
      <c r="AG93" s="87">
        <f t="shared" ca="1" si="75"/>
        <v>9.0041704996930001</v>
      </c>
      <c r="AH93" s="56">
        <f ca="1">FORECAST(AA93,OFFSET(Soils!$L$41:$L$57,MATCH(AA93,Soils!$J$41:$J$57,1)-1,0,2),OFFSET(Soils!$J$41:$J$57,MATCH(AA93,Soils!$J$41:$J$57,1)-1,0,2))</f>
        <v>1.0342177758445703</v>
      </c>
      <c r="AI93" s="27">
        <f t="shared" ca="1" si="52"/>
        <v>2</v>
      </c>
      <c r="AJ93" s="54"/>
      <c r="AK93" s="54">
        <f t="shared" ca="1" si="53"/>
        <v>2.16</v>
      </c>
      <c r="AL93" s="54">
        <f t="shared" ca="1" si="66"/>
        <v>54.863999999999997</v>
      </c>
      <c r="AM93" s="27">
        <f t="shared" ca="1" si="76"/>
        <v>0.64800000000000002</v>
      </c>
      <c r="AN93" s="40">
        <f t="shared" ca="1" si="77"/>
        <v>1.512</v>
      </c>
      <c r="AO93" s="27">
        <f t="shared" ca="1" si="78"/>
        <v>0</v>
      </c>
      <c r="AP93" s="27">
        <f t="shared" ca="1" si="54"/>
        <v>0.1846909090909091</v>
      </c>
      <c r="AQ93" s="27">
        <f t="shared" ca="1" si="79"/>
        <v>1.9753090909090911</v>
      </c>
      <c r="AR93" s="27">
        <f t="shared" ca="1" si="80"/>
        <v>1</v>
      </c>
      <c r="AS93" s="27">
        <f t="shared" ca="1" si="55"/>
        <v>0</v>
      </c>
      <c r="AT93" s="28">
        <f t="shared" ca="1" si="81"/>
        <v>125.55103732681111</v>
      </c>
      <c r="AU93" s="27">
        <f t="shared" ca="1" si="67"/>
        <v>0</v>
      </c>
      <c r="AV93" s="51">
        <f t="shared" ca="1" si="68"/>
        <v>0</v>
      </c>
      <c r="AW93" s="51">
        <f t="shared" ca="1" si="82"/>
        <v>125.01030450991755</v>
      </c>
      <c r="AX93" s="27">
        <f t="shared" ca="1" si="69"/>
        <v>0</v>
      </c>
      <c r="AY93" s="54">
        <f t="shared" ca="1" si="83"/>
        <v>0.54073281689356767</v>
      </c>
      <c r="AZ93" s="91">
        <f t="shared" si="70"/>
        <v>134.3705169174132</v>
      </c>
      <c r="BA93" s="33">
        <f t="shared" ca="1" si="56"/>
        <v>0</v>
      </c>
      <c r="BB93" s="33">
        <f t="shared" ca="1" si="84"/>
        <v>8.8194795906020893</v>
      </c>
    </row>
    <row r="94" spans="2:54" x14ac:dyDescent="0.25">
      <c r="B94" s="18"/>
      <c r="D94" s="154">
        <v>42239</v>
      </c>
      <c r="E94" s="58">
        <v>0</v>
      </c>
      <c r="G94" s="18"/>
      <c r="J94" s="10"/>
      <c r="L94" s="83">
        <f t="shared" si="57"/>
        <v>0</v>
      </c>
      <c r="M94" s="68"/>
      <c r="N94" s="62">
        <v>42239</v>
      </c>
      <c r="O94" s="37">
        <f t="shared" si="58"/>
        <v>0</v>
      </c>
      <c r="P94" s="85">
        <f t="shared" si="59"/>
        <v>0</v>
      </c>
      <c r="Q94" s="85">
        <f t="shared" si="60"/>
        <v>0</v>
      </c>
      <c r="R94" s="84">
        <f t="shared" si="71"/>
        <v>90500.388537675783</v>
      </c>
      <c r="S94" s="86">
        <f t="shared" si="61"/>
        <v>2.0776030426463676</v>
      </c>
      <c r="T94" s="85">
        <f t="shared" si="62"/>
        <v>132.69851691741314</v>
      </c>
      <c r="U94" s="88">
        <f>LOOKUP(N94,'weather data'!$B$7:$B$158,'weather data'!$C$7:$C$158)</f>
        <v>0</v>
      </c>
      <c r="V94" s="88">
        <f t="shared" si="63"/>
        <v>0</v>
      </c>
      <c r="W94" s="88">
        <f t="shared" si="72"/>
        <v>1.6720000000000002</v>
      </c>
      <c r="X94" s="79">
        <f>LOOKUP(N94,'weather data'!$B$7:$B$158,'weather data'!$E$7:$E$158)</f>
        <v>0.21</v>
      </c>
      <c r="Y94" s="6">
        <v>1</v>
      </c>
      <c r="Z94" s="6">
        <v>84</v>
      </c>
      <c r="AA94" s="95">
        <f t="shared" si="51"/>
        <v>111.07438016528926</v>
      </c>
      <c r="AB94" s="94">
        <f ca="1">FORECAST(AA94,OFFSET(Soils!$K$41:$K$57,MATCH(AA94,Soils!$J$41:$J$57,1)-1,0,2),OFFSET(Soils!$J$41:$J$57,MATCH(AA94,Soils!$J$41:$J$57,1)-1,0,2))</f>
        <v>0.82925619834710762</v>
      </c>
      <c r="AC94" s="92">
        <f t="shared" ca="1" si="73"/>
        <v>1</v>
      </c>
      <c r="AD94" s="92">
        <f t="shared" ca="1" si="64"/>
        <v>0.82925619834710762</v>
      </c>
      <c r="AE94" s="87">
        <f t="shared" ca="1" si="65"/>
        <v>0.17414380165289259</v>
      </c>
      <c r="AF94" s="87">
        <f t="shared" ca="1" si="74"/>
        <v>0.17414380165289259</v>
      </c>
      <c r="AG94" s="87">
        <f t="shared" ca="1" si="75"/>
        <v>9.1783143013458925</v>
      </c>
      <c r="AH94" s="56">
        <f ca="1">FORECAST(AA94,OFFSET(Soils!$L$41:$L$57,MATCH(AA94,Soils!$J$41:$J$57,1)-1,0,2),OFFSET(Soils!$J$41:$J$57,MATCH(AA94,Soils!$J$41:$J$57,1)-1,0,2))</f>
        <v>1.0162389444686093</v>
      </c>
      <c r="AI94" s="27">
        <v>2</v>
      </c>
      <c r="AJ94" s="54"/>
      <c r="AK94" s="54">
        <f t="shared" si="53"/>
        <v>2.16</v>
      </c>
      <c r="AL94" s="54">
        <f t="shared" si="66"/>
        <v>54.863999999999997</v>
      </c>
      <c r="AM94" s="27">
        <f t="shared" si="76"/>
        <v>0.64800000000000002</v>
      </c>
      <c r="AN94" s="40">
        <f t="shared" si="77"/>
        <v>1.512</v>
      </c>
      <c r="AO94" s="27">
        <f t="shared" ca="1" si="78"/>
        <v>0.1846909090909091</v>
      </c>
      <c r="AP94" s="27">
        <f t="shared" ca="1" si="54"/>
        <v>0.35883471074380169</v>
      </c>
      <c r="AQ94" s="27">
        <f t="shared" ca="1" si="79"/>
        <v>1.8011652892561985</v>
      </c>
      <c r="AR94" s="27">
        <f t="shared" ca="1" si="80"/>
        <v>1</v>
      </c>
      <c r="AS94" s="27">
        <f t="shared" ca="1" si="55"/>
        <v>0</v>
      </c>
      <c r="AT94" s="28">
        <f t="shared" ca="1" si="81"/>
        <v>125.55103732681111</v>
      </c>
      <c r="AU94" s="27">
        <f t="shared" ca="1" si="67"/>
        <v>0</v>
      </c>
      <c r="AV94" s="51">
        <f t="shared" ca="1" si="68"/>
        <v>0</v>
      </c>
      <c r="AW94" s="51">
        <f t="shared" ca="1" si="82"/>
        <v>125.01030450991755</v>
      </c>
      <c r="AX94" s="27">
        <f t="shared" ca="1" si="69"/>
        <v>0</v>
      </c>
      <c r="AY94" s="54">
        <f t="shared" ca="1" si="83"/>
        <v>0.54073281689356767</v>
      </c>
      <c r="AZ94" s="91">
        <f t="shared" si="70"/>
        <v>134.3705169174132</v>
      </c>
      <c r="BA94" s="33">
        <f t="shared" ca="1" si="56"/>
        <v>0</v>
      </c>
      <c r="BB94" s="33">
        <f t="shared" ca="1" si="84"/>
        <v>8.8194795906020893</v>
      </c>
    </row>
    <row r="95" spans="2:54" x14ac:dyDescent="0.25">
      <c r="B95" s="18"/>
      <c r="D95" s="154">
        <v>42240</v>
      </c>
      <c r="E95" s="58">
        <f>B36</f>
        <v>4902.5549998869774</v>
      </c>
      <c r="G95" s="18"/>
      <c r="J95" s="10"/>
      <c r="L95" s="83">
        <f t="shared" si="57"/>
        <v>4902.5549998869774</v>
      </c>
      <c r="M95" s="68"/>
      <c r="N95" s="62">
        <v>42240</v>
      </c>
      <c r="O95" s="37">
        <f t="shared" si="58"/>
        <v>4902.5549998869774</v>
      </c>
      <c r="P95" s="85">
        <f t="shared" si="59"/>
        <v>7.1884970672829578</v>
      </c>
      <c r="Q95" s="85">
        <f t="shared" si="60"/>
        <v>182.58782550898712</v>
      </c>
      <c r="R95" s="84">
        <f t="shared" si="71"/>
        <v>95402.943537562765</v>
      </c>
      <c r="S95" s="86">
        <f t="shared" si="61"/>
        <v>2.1901502189523132</v>
      </c>
      <c r="T95" s="85">
        <f t="shared" si="62"/>
        <v>139.88701398469615</v>
      </c>
      <c r="U95" s="88">
        <f>LOOKUP(N95,'weather data'!$B$7:$B$158,'weather data'!$C$7:$C$158)</f>
        <v>0</v>
      </c>
      <c r="V95" s="88">
        <f t="shared" si="63"/>
        <v>0</v>
      </c>
      <c r="W95" s="88">
        <f t="shared" si="72"/>
        <v>1.6720000000000002</v>
      </c>
      <c r="X95" s="79">
        <f>LOOKUP(N95,'weather data'!$B$7:$B$158,'weather data'!$E$7:$E$158)</f>
        <v>0.23</v>
      </c>
      <c r="Y95" s="6">
        <v>1</v>
      </c>
      <c r="Z95" s="6">
        <v>85</v>
      </c>
      <c r="AA95" s="95">
        <f t="shared" si="51"/>
        <v>112.39669421487604</v>
      </c>
      <c r="AB95" s="94">
        <f ca="1">FORECAST(AA95,OFFSET(Soils!$K$41:$K$57,MATCH(AA95,Soils!$J$41:$J$57,1)-1,0,2),OFFSET(Soils!$J$41:$J$57,MATCH(AA95,Soils!$J$41:$J$57,1)-1,0,2))</f>
        <v>0.81603305785123981</v>
      </c>
      <c r="AC95" s="92">
        <f t="shared" ca="1" si="73"/>
        <v>1</v>
      </c>
      <c r="AD95" s="92">
        <f t="shared" ca="1" si="64"/>
        <v>0.81603305785123981</v>
      </c>
      <c r="AE95" s="87">
        <f t="shared" ca="1" si="65"/>
        <v>0.18768760330578516</v>
      </c>
      <c r="AF95" s="87">
        <f t="shared" ca="1" si="74"/>
        <v>0.18768760330578516</v>
      </c>
      <c r="AG95" s="87">
        <f t="shared" ca="1" si="75"/>
        <v>9.3660019046516769</v>
      </c>
      <c r="AH95" s="56">
        <f ca="1">FORECAST(AA95,OFFSET(Soils!$L$41:$L$57,MATCH(AA95,Soils!$J$41:$J$57,1)-1,0,2),OFFSET(Soils!$J$41:$J$57,MATCH(AA95,Soils!$J$41:$J$57,1)-1,0,2))</f>
        <v>0.99304045237059557</v>
      </c>
      <c r="AI95" s="27">
        <v>2</v>
      </c>
      <c r="AJ95" s="54"/>
      <c r="AK95" s="54">
        <f t="shared" si="53"/>
        <v>2.16</v>
      </c>
      <c r="AL95" s="54">
        <f t="shared" si="66"/>
        <v>54.863999999999997</v>
      </c>
      <c r="AM95" s="27">
        <f t="shared" si="76"/>
        <v>0.64800000000000002</v>
      </c>
      <c r="AN95" s="40">
        <f t="shared" si="77"/>
        <v>1.512</v>
      </c>
      <c r="AO95" s="27">
        <f t="shared" ca="1" si="78"/>
        <v>0.35883471074380169</v>
      </c>
      <c r="AP95" s="27">
        <f t="shared" ca="1" si="54"/>
        <v>0</v>
      </c>
      <c r="AQ95" s="27">
        <f t="shared" ca="1" si="79"/>
        <v>2.16</v>
      </c>
      <c r="AR95" s="27">
        <f t="shared" ca="1" si="80"/>
        <v>1</v>
      </c>
      <c r="AS95" s="27">
        <f t="shared" ca="1" si="55"/>
        <v>6.6419747532333711</v>
      </c>
      <c r="AT95" s="28">
        <f t="shared" ca="1" si="81"/>
        <v>132.1930120800445</v>
      </c>
      <c r="AU95" s="27">
        <f t="shared" ca="1" si="67"/>
        <v>6.6419747532333711</v>
      </c>
      <c r="AV95" s="51">
        <f t="shared" ca="1" si="68"/>
        <v>168.70615873212762</v>
      </c>
      <c r="AW95" s="51">
        <f t="shared" ca="1" si="82"/>
        <v>131.65227926315092</v>
      </c>
      <c r="AX95" s="27">
        <f t="shared" ca="1" si="69"/>
        <v>0</v>
      </c>
      <c r="AY95" s="54">
        <f t="shared" ca="1" si="83"/>
        <v>0.54073281689356767</v>
      </c>
      <c r="AZ95" s="91">
        <f t="shared" si="70"/>
        <v>141.55901398469615</v>
      </c>
      <c r="BA95" s="33">
        <f t="shared" ca="1" si="56"/>
        <v>0.54652231404958673</v>
      </c>
      <c r="BB95" s="33">
        <f t="shared" ca="1" si="84"/>
        <v>9.3660019046516751</v>
      </c>
    </row>
    <row r="96" spans="2:54" x14ac:dyDescent="0.25">
      <c r="B96" s="18"/>
      <c r="D96" s="154">
        <v>42241</v>
      </c>
      <c r="E96" s="58">
        <v>0</v>
      </c>
      <c r="G96" s="18"/>
      <c r="J96" s="10"/>
      <c r="L96" s="83">
        <f t="shared" si="57"/>
        <v>0</v>
      </c>
      <c r="M96" s="68"/>
      <c r="N96" s="62">
        <v>42241</v>
      </c>
      <c r="O96" s="37">
        <f t="shared" si="58"/>
        <v>0</v>
      </c>
      <c r="P96" s="85">
        <f t="shared" si="59"/>
        <v>0</v>
      </c>
      <c r="Q96" s="85">
        <f t="shared" si="60"/>
        <v>0</v>
      </c>
      <c r="R96" s="84">
        <f t="shared" si="71"/>
        <v>95402.943537562765</v>
      </c>
      <c r="S96" s="86">
        <f t="shared" si="61"/>
        <v>2.1901502189523132</v>
      </c>
      <c r="T96" s="85">
        <f t="shared" si="62"/>
        <v>139.88701398469615</v>
      </c>
      <c r="U96" s="88">
        <f>LOOKUP(N96,'weather data'!$B$7:$B$158,'weather data'!$C$7:$C$158)</f>
        <v>0</v>
      </c>
      <c r="V96" s="88">
        <f t="shared" si="63"/>
        <v>0</v>
      </c>
      <c r="W96" s="88">
        <f t="shared" si="72"/>
        <v>1.6720000000000002</v>
      </c>
      <c r="X96" s="79">
        <f>LOOKUP(N96,'weather data'!$B$7:$B$158,'weather data'!$E$7:$E$158)</f>
        <v>0.24</v>
      </c>
      <c r="Y96" s="6">
        <v>1</v>
      </c>
      <c r="Z96" s="6">
        <v>86</v>
      </c>
      <c r="AA96" s="95">
        <f t="shared" si="51"/>
        <v>113.71900826446281</v>
      </c>
      <c r="AB96" s="94">
        <f ca="1">FORECAST(AA96,OFFSET(Soils!$K$41:$K$57,MATCH(AA96,Soils!$J$41:$J$57,1)-1,0,2),OFFSET(Soils!$J$41:$J$57,MATCH(AA96,Soils!$J$41:$J$57,1)-1,0,2))</f>
        <v>0.80280991735537199</v>
      </c>
      <c r="AC96" s="92">
        <f t="shared" ca="1" si="73"/>
        <v>1</v>
      </c>
      <c r="AD96" s="92">
        <f t="shared" ca="1" si="64"/>
        <v>0.80280991735537199</v>
      </c>
      <c r="AE96" s="87">
        <f t="shared" ca="1" si="65"/>
        <v>0.19267438016528926</v>
      </c>
      <c r="AF96" s="87">
        <f t="shared" ca="1" si="74"/>
        <v>0.19267438016528926</v>
      </c>
      <c r="AG96" s="87">
        <f t="shared" ca="1" si="75"/>
        <v>9.5586762848169666</v>
      </c>
      <c r="AH96" s="56">
        <f ca="1">FORECAST(AA96,OFFSET(Soils!$L$41:$L$57,MATCH(AA96,Soils!$J$41:$J$57,1)-1,0,2),OFFSET(Soils!$J$41:$J$57,MATCH(AA96,Soils!$J$41:$J$57,1)-1,0,2))</f>
        <v>0.96984196027258185</v>
      </c>
      <c r="AI96" s="27">
        <v>2</v>
      </c>
      <c r="AJ96" s="54"/>
      <c r="AK96" s="54">
        <f t="shared" si="53"/>
        <v>2.16</v>
      </c>
      <c r="AL96" s="54">
        <f t="shared" si="66"/>
        <v>54.863999999999997</v>
      </c>
      <c r="AM96" s="27">
        <f t="shared" si="76"/>
        <v>0.64800000000000002</v>
      </c>
      <c r="AN96" s="40">
        <f t="shared" si="77"/>
        <v>1.512</v>
      </c>
      <c r="AO96" s="27">
        <f t="shared" ca="1" si="78"/>
        <v>0</v>
      </c>
      <c r="AP96" s="27">
        <f t="shared" ca="1" si="54"/>
        <v>0.19267438016528926</v>
      </c>
      <c r="AQ96" s="27">
        <f t="shared" ca="1" si="79"/>
        <v>1.9673256198347109</v>
      </c>
      <c r="AR96" s="27">
        <f t="shared" ca="1" si="80"/>
        <v>1</v>
      </c>
      <c r="AS96" s="27">
        <f t="shared" ca="1" si="55"/>
        <v>0</v>
      </c>
      <c r="AT96" s="28">
        <f t="shared" ca="1" si="81"/>
        <v>132.1930120800445</v>
      </c>
      <c r="AU96" s="27">
        <f t="shared" ca="1" si="67"/>
        <v>0</v>
      </c>
      <c r="AV96" s="51">
        <f t="shared" ca="1" si="68"/>
        <v>0</v>
      </c>
      <c r="AW96" s="51">
        <f t="shared" ca="1" si="82"/>
        <v>131.65227926315092</v>
      </c>
      <c r="AX96" s="27">
        <f t="shared" ca="1" si="69"/>
        <v>0</v>
      </c>
      <c r="AY96" s="54">
        <f t="shared" ca="1" si="83"/>
        <v>0.54073281689356767</v>
      </c>
      <c r="AZ96" s="91">
        <f t="shared" si="70"/>
        <v>141.55901398469615</v>
      </c>
      <c r="BA96" s="33">
        <f t="shared" ca="1" si="56"/>
        <v>0</v>
      </c>
      <c r="BB96" s="33">
        <f t="shared" ca="1" si="84"/>
        <v>9.3660019046516751</v>
      </c>
    </row>
    <row r="97" spans="2:54" x14ac:dyDescent="0.25">
      <c r="B97" s="18"/>
      <c r="D97" s="154">
        <v>42242</v>
      </c>
      <c r="E97" s="58">
        <v>0</v>
      </c>
      <c r="G97" s="18"/>
      <c r="J97" s="10"/>
      <c r="L97" s="83">
        <f t="shared" si="57"/>
        <v>0</v>
      </c>
      <c r="M97" s="68"/>
      <c r="N97" s="62">
        <v>42242</v>
      </c>
      <c r="O97" s="37">
        <f t="shared" si="58"/>
        <v>0</v>
      </c>
      <c r="P97" s="85">
        <f t="shared" si="59"/>
        <v>0</v>
      </c>
      <c r="Q97" s="85">
        <f t="shared" si="60"/>
        <v>0</v>
      </c>
      <c r="R97" s="84">
        <f t="shared" si="71"/>
        <v>95402.943537562765</v>
      </c>
      <c r="S97" s="86">
        <f t="shared" si="61"/>
        <v>2.1901502189523132</v>
      </c>
      <c r="T97" s="85">
        <f t="shared" si="62"/>
        <v>139.88701398469615</v>
      </c>
      <c r="U97" s="88">
        <f>LOOKUP(N97,'weather data'!$B$7:$B$158,'weather data'!$C$7:$C$158)</f>
        <v>0.01</v>
      </c>
      <c r="V97" s="88">
        <f t="shared" si="63"/>
        <v>0</v>
      </c>
      <c r="W97" s="88">
        <f t="shared" si="72"/>
        <v>1.6720000000000002</v>
      </c>
      <c r="X97" s="79">
        <f>LOOKUP(N97,'weather data'!$B$7:$B$158,'weather data'!$E$7:$E$158)</f>
        <v>0.1</v>
      </c>
      <c r="Y97" s="6">
        <v>1</v>
      </c>
      <c r="Z97" s="6">
        <v>87</v>
      </c>
      <c r="AA97" s="95">
        <f t="shared" si="51"/>
        <v>115.04132231404958</v>
      </c>
      <c r="AB97" s="94">
        <f ca="1">FORECAST(AA97,OFFSET(Soils!$K$41:$K$57,MATCH(AA97,Soils!$J$41:$J$57,1)-1,0,2),OFFSET(Soils!$J$41:$J$57,MATCH(AA97,Soils!$J$41:$J$57,1)-1,0,2))</f>
        <v>0.7895867768595044</v>
      </c>
      <c r="AC97" s="92">
        <f t="shared" ca="1" si="73"/>
        <v>1</v>
      </c>
      <c r="AD97" s="92">
        <f t="shared" ca="1" si="64"/>
        <v>0.7895867768595044</v>
      </c>
      <c r="AE97" s="87">
        <f t="shared" ca="1" si="65"/>
        <v>7.895867768595044E-2</v>
      </c>
      <c r="AF97" s="87">
        <f t="shared" ca="1" si="74"/>
        <v>7.895867768595044E-2</v>
      </c>
      <c r="AG97" s="87">
        <f t="shared" ca="1" si="75"/>
        <v>9.6376349625029167</v>
      </c>
      <c r="AH97" s="56">
        <f ca="1">FORECAST(AA97,OFFSET(Soils!$L$41:$L$57,MATCH(AA97,Soils!$J$41:$J$57,1)-1,0,2),OFFSET(Soils!$J$41:$J$57,MATCH(AA97,Soils!$J$41:$J$57,1)-1,0,2))</f>
        <v>0.94664346817456835</v>
      </c>
      <c r="AI97" s="27">
        <v>2</v>
      </c>
      <c r="AJ97" s="54"/>
      <c r="AK97" s="54">
        <f t="shared" si="53"/>
        <v>2.16</v>
      </c>
      <c r="AL97" s="54">
        <f t="shared" si="66"/>
        <v>54.863999999999997</v>
      </c>
      <c r="AM97" s="27">
        <f t="shared" si="76"/>
        <v>0.64800000000000002</v>
      </c>
      <c r="AN97" s="40">
        <f t="shared" si="77"/>
        <v>1.512</v>
      </c>
      <c r="AO97" s="27">
        <f t="shared" ca="1" si="78"/>
        <v>0.19267438016528926</v>
      </c>
      <c r="AP97" s="27">
        <f t="shared" ca="1" si="54"/>
        <v>0.2716330578512397</v>
      </c>
      <c r="AQ97" s="27">
        <f t="shared" ca="1" si="79"/>
        <v>1.8883669421487603</v>
      </c>
      <c r="AR97" s="27">
        <f t="shared" ca="1" si="80"/>
        <v>1</v>
      </c>
      <c r="AS97" s="27">
        <f t="shared" ca="1" si="55"/>
        <v>0</v>
      </c>
      <c r="AT97" s="28">
        <f t="shared" ca="1" si="81"/>
        <v>132.1930120800445</v>
      </c>
      <c r="AU97" s="27">
        <f t="shared" ca="1" si="67"/>
        <v>0</v>
      </c>
      <c r="AV97" s="51">
        <f t="shared" ca="1" si="68"/>
        <v>0</v>
      </c>
      <c r="AW97" s="51">
        <f t="shared" ca="1" si="82"/>
        <v>131.65227926315092</v>
      </c>
      <c r="AX97" s="27">
        <f t="shared" ca="1" si="69"/>
        <v>0</v>
      </c>
      <c r="AY97" s="54">
        <f t="shared" ca="1" si="83"/>
        <v>0.54073281689356767</v>
      </c>
      <c r="AZ97" s="91">
        <f t="shared" si="70"/>
        <v>141.55901398469615</v>
      </c>
      <c r="BA97" s="33">
        <f t="shared" ca="1" si="56"/>
        <v>0</v>
      </c>
      <c r="BB97" s="33">
        <f t="shared" ca="1" si="84"/>
        <v>9.3660019046516751</v>
      </c>
    </row>
    <row r="98" spans="2:54" x14ac:dyDescent="0.25">
      <c r="B98" s="18"/>
      <c r="D98" s="154">
        <v>42243</v>
      </c>
      <c r="E98" s="58">
        <v>0</v>
      </c>
      <c r="G98" s="18"/>
      <c r="J98" s="10"/>
      <c r="L98" s="83">
        <f t="shared" si="57"/>
        <v>0</v>
      </c>
      <c r="M98" s="68"/>
      <c r="N98" s="62">
        <v>42243</v>
      </c>
      <c r="O98" s="37">
        <f t="shared" si="58"/>
        <v>0</v>
      </c>
      <c r="P98" s="85">
        <f t="shared" si="59"/>
        <v>0</v>
      </c>
      <c r="Q98" s="85">
        <f t="shared" si="60"/>
        <v>0</v>
      </c>
      <c r="R98" s="84">
        <f t="shared" si="71"/>
        <v>95402.943537562765</v>
      </c>
      <c r="S98" s="86">
        <f t="shared" si="61"/>
        <v>2.1901502189523132</v>
      </c>
      <c r="T98" s="85">
        <f t="shared" si="62"/>
        <v>139.88701398469615</v>
      </c>
      <c r="U98" s="88">
        <f>LOOKUP(N98,'weather data'!$B$7:$B$158,'weather data'!$C$7:$C$158)</f>
        <v>0</v>
      </c>
      <c r="V98" s="88">
        <f t="shared" si="63"/>
        <v>0</v>
      </c>
      <c r="W98" s="88">
        <f t="shared" si="72"/>
        <v>1.6720000000000002</v>
      </c>
      <c r="X98" s="79">
        <f>LOOKUP(N98,'weather data'!$B$7:$B$158,'weather data'!$E$7:$E$158)</f>
        <v>0.2</v>
      </c>
      <c r="Y98" s="6">
        <v>1</v>
      </c>
      <c r="Z98" s="6">
        <v>88</v>
      </c>
      <c r="AA98" s="95">
        <f t="shared" si="51"/>
        <v>116.36363636363636</v>
      </c>
      <c r="AB98" s="94">
        <f ca="1">FORECAST(AA98,OFFSET(Soils!$K$41:$K$57,MATCH(AA98,Soils!$J$41:$J$57,1)-1,0,2),OFFSET(Soils!$J$41:$J$57,MATCH(AA98,Soils!$J$41:$J$57,1)-1,0,2))</f>
        <v>0.77636363636363659</v>
      </c>
      <c r="AC98" s="92">
        <f t="shared" ca="1" si="73"/>
        <v>1</v>
      </c>
      <c r="AD98" s="92">
        <f t="shared" ca="1" si="64"/>
        <v>0.77636363636363659</v>
      </c>
      <c r="AE98" s="87">
        <f t="shared" ca="1" si="65"/>
        <v>0.15527272727272734</v>
      </c>
      <c r="AF98" s="87">
        <f t="shared" ca="1" si="74"/>
        <v>0.15527272727272734</v>
      </c>
      <c r="AG98" s="87">
        <f t="shared" ca="1" si="75"/>
        <v>9.7929076897756442</v>
      </c>
      <c r="AH98" s="56">
        <f ca="1">FORECAST(AA98,OFFSET(Soils!$L$41:$L$57,MATCH(AA98,Soils!$J$41:$J$57,1)-1,0,2),OFFSET(Soils!$J$41:$J$57,MATCH(AA98,Soils!$J$41:$J$57,1)-1,0,2))</f>
        <v>0.92344497607655462</v>
      </c>
      <c r="AI98" s="27">
        <v>2</v>
      </c>
      <c r="AJ98" s="54"/>
      <c r="AK98" s="54">
        <f t="shared" si="53"/>
        <v>2.16</v>
      </c>
      <c r="AL98" s="54">
        <f t="shared" si="66"/>
        <v>54.863999999999997</v>
      </c>
      <c r="AM98" s="27">
        <f t="shared" si="76"/>
        <v>0.64800000000000002</v>
      </c>
      <c r="AN98" s="40">
        <f t="shared" si="77"/>
        <v>1.512</v>
      </c>
      <c r="AO98" s="27">
        <f t="shared" ca="1" si="78"/>
        <v>0.2716330578512397</v>
      </c>
      <c r="AP98" s="27">
        <f t="shared" ca="1" si="54"/>
        <v>0.42690578512396704</v>
      </c>
      <c r="AQ98" s="27">
        <f t="shared" ca="1" si="79"/>
        <v>1.7330942148760331</v>
      </c>
      <c r="AR98" s="27">
        <f t="shared" ca="1" si="80"/>
        <v>1</v>
      </c>
      <c r="AS98" s="27">
        <f t="shared" ca="1" si="55"/>
        <v>0</v>
      </c>
      <c r="AT98" s="28">
        <f t="shared" ca="1" si="81"/>
        <v>132.1930120800445</v>
      </c>
      <c r="AU98" s="27">
        <f t="shared" ca="1" si="67"/>
        <v>0</v>
      </c>
      <c r="AV98" s="51">
        <f t="shared" ca="1" si="68"/>
        <v>0</v>
      </c>
      <c r="AW98" s="51">
        <f t="shared" ca="1" si="82"/>
        <v>131.65227926315092</v>
      </c>
      <c r="AX98" s="27">
        <f t="shared" ca="1" si="69"/>
        <v>0</v>
      </c>
      <c r="AY98" s="54">
        <f t="shared" ca="1" si="83"/>
        <v>0.54073281689356767</v>
      </c>
      <c r="AZ98" s="91">
        <f t="shared" si="70"/>
        <v>141.55901398469615</v>
      </c>
      <c r="BA98" s="33">
        <f t="shared" ca="1" si="56"/>
        <v>0</v>
      </c>
      <c r="BB98" s="33">
        <f t="shared" ca="1" si="84"/>
        <v>9.3660019046516751</v>
      </c>
    </row>
    <row r="99" spans="2:54" x14ac:dyDescent="0.25">
      <c r="B99" s="18"/>
      <c r="D99" s="154">
        <v>42244</v>
      </c>
      <c r="E99" s="58">
        <f>B37</f>
        <v>2561.473770865317</v>
      </c>
      <c r="G99" s="18"/>
      <c r="J99" s="10"/>
      <c r="L99" s="83">
        <f t="shared" si="57"/>
        <v>2561.473770865317</v>
      </c>
      <c r="M99" s="68"/>
      <c r="N99" s="62">
        <v>42244</v>
      </c>
      <c r="O99" s="37">
        <f t="shared" si="58"/>
        <v>2561.473770865317</v>
      </c>
      <c r="P99" s="85">
        <f t="shared" si="59"/>
        <v>3.7558266434975325</v>
      </c>
      <c r="Q99" s="85">
        <f t="shared" si="60"/>
        <v>95.397996744837315</v>
      </c>
      <c r="R99" s="84">
        <f t="shared" si="71"/>
        <v>97964.417308428077</v>
      </c>
      <c r="S99" s="86">
        <f t="shared" si="61"/>
        <v>2.2489535653909107</v>
      </c>
      <c r="T99" s="85">
        <f t="shared" si="62"/>
        <v>143.64284062819365</v>
      </c>
      <c r="U99" s="88">
        <f>LOOKUP(N99,'weather data'!$B$7:$B$158,'weather data'!$C$7:$C$158)</f>
        <v>0</v>
      </c>
      <c r="V99" s="88">
        <f t="shared" si="63"/>
        <v>0</v>
      </c>
      <c r="W99" s="88">
        <f t="shared" si="72"/>
        <v>1.6720000000000002</v>
      </c>
      <c r="X99" s="79">
        <f>LOOKUP(N99,'weather data'!$B$7:$B$158,'weather data'!$E$7:$E$158)</f>
        <v>0.21</v>
      </c>
      <c r="Y99" s="6">
        <v>1</v>
      </c>
      <c r="Z99" s="6">
        <v>89</v>
      </c>
      <c r="AA99" s="95">
        <f t="shared" si="51"/>
        <v>117.68595041322314</v>
      </c>
      <c r="AB99" s="94">
        <f ca="1">FORECAST(AA99,OFFSET(Soils!$K$41:$K$57,MATCH(AA99,Soils!$J$41:$J$57,1)-1,0,2),OFFSET(Soils!$J$41:$J$57,MATCH(AA99,Soils!$J$41:$J$57,1)-1,0,2))</f>
        <v>0.76314049586776878</v>
      </c>
      <c r="AC99" s="92">
        <f t="shared" ca="1" si="73"/>
        <v>1</v>
      </c>
      <c r="AD99" s="92">
        <f t="shared" ca="1" si="64"/>
        <v>0.76314049586776878</v>
      </c>
      <c r="AE99" s="87">
        <f t="shared" ca="1" si="65"/>
        <v>0.16025950413223145</v>
      </c>
      <c r="AF99" s="87">
        <f t="shared" ca="1" si="74"/>
        <v>0.16025950413223145</v>
      </c>
      <c r="AG99" s="87">
        <f t="shared" ca="1" si="75"/>
        <v>9.9531671939078752</v>
      </c>
      <c r="AH99" s="56">
        <f ca="1">FORECAST(AA99,OFFSET(Soils!$L$41:$L$57,MATCH(AA99,Soils!$J$41:$J$57,1)-1,0,2),OFFSET(Soils!$J$41:$J$57,MATCH(AA99,Soils!$J$41:$J$57,1)-1,0,2))</f>
        <v>0.9002464839785409</v>
      </c>
      <c r="AI99" s="27">
        <v>2</v>
      </c>
      <c r="AJ99" s="54"/>
      <c r="AK99" s="54">
        <f t="shared" si="53"/>
        <v>2.16</v>
      </c>
      <c r="AL99" s="54">
        <f t="shared" si="66"/>
        <v>54.863999999999997</v>
      </c>
      <c r="AM99" s="27">
        <f t="shared" si="76"/>
        <v>0.64800000000000002</v>
      </c>
      <c r="AN99" s="40">
        <f t="shared" si="77"/>
        <v>1.512</v>
      </c>
      <c r="AO99" s="27">
        <f t="shared" ca="1" si="78"/>
        <v>0.42690578512396704</v>
      </c>
      <c r="AP99" s="27">
        <f t="shared" ca="1" si="54"/>
        <v>0</v>
      </c>
      <c r="AQ99" s="27">
        <f t="shared" ca="1" si="79"/>
        <v>2.16</v>
      </c>
      <c r="AR99" s="27">
        <f t="shared" ca="1" si="80"/>
        <v>1</v>
      </c>
      <c r="AS99" s="27">
        <f t="shared" ca="1" si="55"/>
        <v>3.1686613542413342</v>
      </c>
      <c r="AT99" s="28">
        <f t="shared" ca="1" si="81"/>
        <v>135.36167343428582</v>
      </c>
      <c r="AU99" s="27">
        <f t="shared" ca="1" si="67"/>
        <v>3.1686613542413342</v>
      </c>
      <c r="AV99" s="51">
        <f t="shared" ca="1" si="68"/>
        <v>80.483998397729891</v>
      </c>
      <c r="AW99" s="51">
        <f t="shared" ca="1" si="82"/>
        <v>134.82094061739224</v>
      </c>
      <c r="AX99" s="27">
        <f t="shared" ca="1" si="69"/>
        <v>0</v>
      </c>
      <c r="AY99" s="54">
        <f t="shared" ca="1" si="83"/>
        <v>0.54073281689356767</v>
      </c>
      <c r="AZ99" s="91">
        <f t="shared" si="70"/>
        <v>145.31484062819368</v>
      </c>
      <c r="BA99" s="33">
        <f t="shared" ca="1" si="56"/>
        <v>0.58716528925619826</v>
      </c>
      <c r="BB99" s="33">
        <f t="shared" ca="1" si="84"/>
        <v>9.9531671939078734</v>
      </c>
    </row>
    <row r="100" spans="2:54" x14ac:dyDescent="0.25">
      <c r="B100" s="18"/>
      <c r="D100" s="154">
        <v>42245</v>
      </c>
      <c r="E100" s="58">
        <v>0</v>
      </c>
      <c r="G100" s="18"/>
      <c r="J100" s="10"/>
      <c r="L100" s="83">
        <f t="shared" si="57"/>
        <v>0</v>
      </c>
      <c r="M100" s="68"/>
      <c r="N100" s="62">
        <v>42245</v>
      </c>
      <c r="O100" s="37">
        <f t="shared" si="58"/>
        <v>0</v>
      </c>
      <c r="P100" s="85">
        <f t="shared" si="59"/>
        <v>0</v>
      </c>
      <c r="Q100" s="85">
        <f t="shared" si="60"/>
        <v>0</v>
      </c>
      <c r="R100" s="84">
        <f t="shared" si="71"/>
        <v>97964.417308428077</v>
      </c>
      <c r="S100" s="86">
        <f t="shared" si="61"/>
        <v>2.2489535653909107</v>
      </c>
      <c r="T100" s="85">
        <f t="shared" si="62"/>
        <v>143.64284062819365</v>
      </c>
      <c r="U100" s="88">
        <f>LOOKUP(N100,'weather data'!$B$7:$B$158,'weather data'!$C$7:$C$158)</f>
        <v>0</v>
      </c>
      <c r="V100" s="88">
        <f t="shared" si="63"/>
        <v>0</v>
      </c>
      <c r="W100" s="88">
        <f t="shared" si="72"/>
        <v>1.6720000000000002</v>
      </c>
      <c r="X100" s="79">
        <f>LOOKUP(N100,'weather data'!$B$7:$B$158,'weather data'!$E$7:$E$158)</f>
        <v>0.25</v>
      </c>
      <c r="Y100" s="6">
        <v>1</v>
      </c>
      <c r="Z100" s="6">
        <v>90</v>
      </c>
      <c r="AA100" s="95">
        <f t="shared" si="51"/>
        <v>119.00826446280992</v>
      </c>
      <c r="AB100" s="94">
        <f ca="1">FORECAST(AA100,OFFSET(Soils!$K$41:$K$57,MATCH(AA100,Soils!$J$41:$J$57,1)-1,0,2),OFFSET(Soils!$J$41:$J$57,MATCH(AA100,Soils!$J$41:$J$57,1)-1,0,2))</f>
        <v>0.74991735537190096</v>
      </c>
      <c r="AC100" s="92">
        <f t="shared" ca="1" si="73"/>
        <v>1</v>
      </c>
      <c r="AD100" s="92">
        <f t="shared" ca="1" si="64"/>
        <v>0.74991735537190096</v>
      </c>
      <c r="AE100" s="87">
        <f t="shared" ca="1" si="65"/>
        <v>0.18747933884297524</v>
      </c>
      <c r="AF100" s="87">
        <f t="shared" ca="1" si="74"/>
        <v>0.18747933884297524</v>
      </c>
      <c r="AG100" s="87">
        <f t="shared" ca="1" si="75"/>
        <v>10.14064653275085</v>
      </c>
      <c r="AH100" s="56">
        <f ca="1">FORECAST(AA100,OFFSET(Soils!$L$41:$L$57,MATCH(AA100,Soils!$J$41:$J$57,1)-1,0,2),OFFSET(Soils!$J$41:$J$57,MATCH(AA100,Soils!$J$41:$J$57,1)-1,0,2))</f>
        <v>0.87704799188052718</v>
      </c>
      <c r="AI100" s="27">
        <v>2</v>
      </c>
      <c r="AJ100" s="54"/>
      <c r="AK100" s="54">
        <f t="shared" si="53"/>
        <v>2.16</v>
      </c>
      <c r="AL100" s="54">
        <f t="shared" si="66"/>
        <v>54.863999999999997</v>
      </c>
      <c r="AM100" s="27">
        <f t="shared" si="76"/>
        <v>0.64800000000000002</v>
      </c>
      <c r="AN100" s="40">
        <f t="shared" si="77"/>
        <v>1.512</v>
      </c>
      <c r="AO100" s="27">
        <f t="shared" ca="1" si="78"/>
        <v>0</v>
      </c>
      <c r="AP100" s="27">
        <f t="shared" ca="1" si="54"/>
        <v>0.18747933884297524</v>
      </c>
      <c r="AQ100" s="27">
        <f t="shared" ca="1" si="79"/>
        <v>1.972520661157025</v>
      </c>
      <c r="AR100" s="27">
        <f t="shared" ca="1" si="80"/>
        <v>1</v>
      </c>
      <c r="AS100" s="27">
        <f t="shared" ca="1" si="55"/>
        <v>0</v>
      </c>
      <c r="AT100" s="28">
        <f t="shared" ca="1" si="81"/>
        <v>135.36167343428582</v>
      </c>
      <c r="AU100" s="27">
        <f t="shared" ca="1" si="67"/>
        <v>0</v>
      </c>
      <c r="AV100" s="51">
        <f t="shared" ca="1" si="68"/>
        <v>0</v>
      </c>
      <c r="AW100" s="51">
        <f t="shared" ca="1" si="82"/>
        <v>134.82094061739224</v>
      </c>
      <c r="AX100" s="27">
        <f t="shared" ca="1" si="69"/>
        <v>0</v>
      </c>
      <c r="AY100" s="54">
        <f t="shared" ca="1" si="83"/>
        <v>0.54073281689356767</v>
      </c>
      <c r="AZ100" s="91">
        <f t="shared" si="70"/>
        <v>145.31484062819368</v>
      </c>
      <c r="BA100" s="33">
        <f t="shared" ca="1" si="56"/>
        <v>0</v>
      </c>
      <c r="BB100" s="33">
        <f t="shared" ca="1" si="84"/>
        <v>9.9531671939078734</v>
      </c>
    </row>
    <row r="101" spans="2:54" x14ac:dyDescent="0.25">
      <c r="B101" s="18"/>
      <c r="D101" s="154">
        <v>42246</v>
      </c>
      <c r="E101" s="58">
        <v>0</v>
      </c>
      <c r="G101" s="18"/>
      <c r="J101" s="10"/>
      <c r="L101" s="83">
        <f t="shared" si="57"/>
        <v>0</v>
      </c>
      <c r="M101" s="68"/>
      <c r="N101" s="62">
        <v>42246</v>
      </c>
      <c r="O101" s="37">
        <f t="shared" si="58"/>
        <v>0</v>
      </c>
      <c r="P101" s="85">
        <f t="shared" si="59"/>
        <v>0</v>
      </c>
      <c r="Q101" s="85">
        <f t="shared" si="60"/>
        <v>0</v>
      </c>
      <c r="R101" s="84">
        <f t="shared" si="71"/>
        <v>97964.417308428077</v>
      </c>
      <c r="S101" s="86">
        <f t="shared" si="61"/>
        <v>2.2489535653909107</v>
      </c>
      <c r="T101" s="85">
        <f t="shared" si="62"/>
        <v>143.64284062819365</v>
      </c>
      <c r="U101" s="88">
        <f>LOOKUP(N101,'weather data'!$B$7:$B$158,'weather data'!$C$7:$C$158)</f>
        <v>0</v>
      </c>
      <c r="V101" s="88">
        <f t="shared" si="63"/>
        <v>0</v>
      </c>
      <c r="W101" s="88">
        <f t="shared" si="72"/>
        <v>1.6720000000000002</v>
      </c>
      <c r="X101" s="79">
        <f>LOOKUP(N101,'weather data'!$B$7:$B$158,'weather data'!$E$7:$E$158)</f>
        <v>0.25</v>
      </c>
      <c r="Y101" s="6">
        <v>1</v>
      </c>
      <c r="Z101" s="6">
        <v>91</v>
      </c>
      <c r="AA101" s="95">
        <f t="shared" si="51"/>
        <v>120.3305785123967</v>
      </c>
      <c r="AB101" s="94">
        <f ca="1">FORECAST(AA101,OFFSET(Soils!$K$41:$K$57,MATCH(AA101,Soils!$J$41:$J$57,1)-1,0,2),OFFSET(Soils!$J$41:$J$57,MATCH(AA101,Soils!$J$41:$J$57,1)-1,0,2))</f>
        <v>0.73438016528925587</v>
      </c>
      <c r="AC101" s="92">
        <f t="shared" ca="1" si="73"/>
        <v>1</v>
      </c>
      <c r="AD101" s="92">
        <f t="shared" ca="1" si="64"/>
        <v>0.73438016528925587</v>
      </c>
      <c r="AE101" s="87">
        <f t="shared" ca="1" si="65"/>
        <v>0.18359504132231397</v>
      </c>
      <c r="AF101" s="87">
        <f t="shared" ca="1" si="74"/>
        <v>0.18359504132231397</v>
      </c>
      <c r="AG101" s="87">
        <f t="shared" ca="1" si="75"/>
        <v>10.324241574073163</v>
      </c>
      <c r="AH101" s="56">
        <f ca="1">FORECAST(AA101,OFFSET(Soils!$L$41:$L$57,MATCH(AA101,Soils!$J$41:$J$57,1)-1,0,2),OFFSET(Soils!$J$41:$J$57,MATCH(AA101,Soils!$J$41:$J$57,1)-1,0,2))</f>
        <v>0.84978976366536152</v>
      </c>
      <c r="AI101" s="27">
        <v>2</v>
      </c>
      <c r="AJ101" s="54"/>
      <c r="AK101" s="54">
        <f t="shared" si="53"/>
        <v>2.16</v>
      </c>
      <c r="AL101" s="54">
        <f t="shared" si="66"/>
        <v>54.863999999999997</v>
      </c>
      <c r="AM101" s="27">
        <f t="shared" si="76"/>
        <v>0.64800000000000002</v>
      </c>
      <c r="AN101" s="40">
        <f t="shared" si="77"/>
        <v>1.512</v>
      </c>
      <c r="AO101" s="27">
        <f t="shared" ca="1" si="78"/>
        <v>0.18747933884297524</v>
      </c>
      <c r="AP101" s="27">
        <f t="shared" ca="1" si="54"/>
        <v>0.37107438016528921</v>
      </c>
      <c r="AQ101" s="27">
        <f t="shared" ca="1" si="79"/>
        <v>1.788925619834711</v>
      </c>
      <c r="AR101" s="27">
        <f t="shared" ca="1" si="80"/>
        <v>1</v>
      </c>
      <c r="AS101" s="27">
        <f t="shared" ca="1" si="55"/>
        <v>0</v>
      </c>
      <c r="AT101" s="28">
        <f t="shared" ca="1" si="81"/>
        <v>135.36167343428582</v>
      </c>
      <c r="AU101" s="27">
        <f t="shared" ca="1" si="67"/>
        <v>0</v>
      </c>
      <c r="AV101" s="51">
        <f t="shared" ca="1" si="68"/>
        <v>0</v>
      </c>
      <c r="AW101" s="51">
        <f t="shared" ca="1" si="82"/>
        <v>134.82094061739224</v>
      </c>
      <c r="AX101" s="27">
        <f t="shared" ca="1" si="69"/>
        <v>0</v>
      </c>
      <c r="AY101" s="54">
        <f t="shared" ca="1" si="83"/>
        <v>0.54073281689356767</v>
      </c>
      <c r="AZ101" s="91">
        <f t="shared" si="70"/>
        <v>145.31484062819368</v>
      </c>
      <c r="BA101" s="33">
        <f t="shared" ca="1" si="56"/>
        <v>0</v>
      </c>
      <c r="BB101" s="33">
        <f t="shared" ca="1" si="84"/>
        <v>9.9531671939078734</v>
      </c>
    </row>
    <row r="102" spans="2:54" x14ac:dyDescent="0.25">
      <c r="B102" s="18"/>
      <c r="D102" s="154">
        <v>42247</v>
      </c>
      <c r="E102" s="58">
        <f>B38</f>
        <v>1280.7368854326608</v>
      </c>
      <c r="G102" s="18"/>
      <c r="J102" s="10"/>
      <c r="L102" s="83">
        <f t="shared" si="57"/>
        <v>1280.7368854326608</v>
      </c>
      <c r="M102" s="68"/>
      <c r="N102" s="62">
        <v>42247</v>
      </c>
      <c r="O102" s="37">
        <f t="shared" si="58"/>
        <v>1280.7368854326608</v>
      </c>
      <c r="P102" s="85">
        <f t="shared" si="59"/>
        <v>1.8779133217487693</v>
      </c>
      <c r="Q102" s="85">
        <f t="shared" si="60"/>
        <v>47.698998372418735</v>
      </c>
      <c r="R102" s="84">
        <f t="shared" si="71"/>
        <v>99245.154193860741</v>
      </c>
      <c r="S102" s="86">
        <f t="shared" si="61"/>
        <v>2.2783552386102097</v>
      </c>
      <c r="T102" s="85">
        <f t="shared" si="62"/>
        <v>145.52075394994242</v>
      </c>
      <c r="U102" s="88">
        <f>LOOKUP(N102,'weather data'!$B$7:$B$158,'weather data'!$C$7:$C$158)</f>
        <v>0</v>
      </c>
      <c r="V102" s="88">
        <f t="shared" si="63"/>
        <v>0</v>
      </c>
      <c r="W102" s="88">
        <f t="shared" si="72"/>
        <v>1.6720000000000002</v>
      </c>
      <c r="X102" s="79">
        <f>LOOKUP(N102,'weather data'!$B$7:$B$158,'weather data'!$E$7:$E$158)</f>
        <v>0.21</v>
      </c>
      <c r="Y102" s="6">
        <v>1</v>
      </c>
      <c r="Z102" s="6">
        <v>92</v>
      </c>
      <c r="AA102" s="95">
        <f t="shared" si="51"/>
        <v>121.65289256198348</v>
      </c>
      <c r="AB102" s="94">
        <f ca="1">FORECAST(AA102,OFFSET(Soils!$K$41:$K$57,MATCH(AA102,Soils!$J$41:$J$57,1)-1,0,2),OFFSET(Soils!$J$41:$J$57,MATCH(AA102,Soils!$J$41:$J$57,1)-1,0,2))</f>
        <v>0.71190082644628072</v>
      </c>
      <c r="AC102" s="92">
        <f t="shared" ca="1" si="73"/>
        <v>1</v>
      </c>
      <c r="AD102" s="92">
        <f t="shared" ca="1" si="64"/>
        <v>0.71190082644628072</v>
      </c>
      <c r="AE102" s="87">
        <f t="shared" ca="1" si="65"/>
        <v>0.14949917355371894</v>
      </c>
      <c r="AF102" s="87">
        <f t="shared" ca="1" si="74"/>
        <v>0.14949917355371894</v>
      </c>
      <c r="AG102" s="87">
        <f t="shared" ca="1" si="75"/>
        <v>10.473740747626882</v>
      </c>
      <c r="AH102" s="56">
        <f ca="1">FORECAST(AA102,OFFSET(Soils!$L$41:$L$57,MATCH(AA102,Soils!$J$41:$J$57,1)-1,0,2),OFFSET(Soils!$J$41:$J$57,MATCH(AA102,Soils!$J$41:$J$57,1)-1,0,2))</f>
        <v>0.81035232709873828</v>
      </c>
      <c r="AI102" s="27">
        <v>2</v>
      </c>
      <c r="AJ102" s="54"/>
      <c r="AK102" s="54">
        <f t="shared" si="53"/>
        <v>2.16</v>
      </c>
      <c r="AL102" s="54">
        <f t="shared" si="66"/>
        <v>54.863999999999997</v>
      </c>
      <c r="AM102" s="27">
        <f t="shared" si="76"/>
        <v>0.64800000000000002</v>
      </c>
      <c r="AN102" s="40">
        <f t="shared" si="77"/>
        <v>1.512</v>
      </c>
      <c r="AO102" s="27">
        <f t="shared" ca="1" si="78"/>
        <v>0.37107438016528921</v>
      </c>
      <c r="AP102" s="27">
        <f t="shared" ca="1" si="54"/>
        <v>0</v>
      </c>
      <c r="AQ102" s="27">
        <f t="shared" ca="1" si="79"/>
        <v>2.16</v>
      </c>
      <c r="AR102" s="27">
        <f t="shared" ca="1" si="80"/>
        <v>1</v>
      </c>
      <c r="AS102" s="27">
        <f t="shared" ca="1" si="55"/>
        <v>1.3573397680297612</v>
      </c>
      <c r="AT102" s="28">
        <f t="shared" ca="1" si="81"/>
        <v>136.71901320231558</v>
      </c>
      <c r="AU102" s="27">
        <f t="shared" ca="1" si="67"/>
        <v>1.3573397680297612</v>
      </c>
      <c r="AV102" s="51">
        <f t="shared" ca="1" si="68"/>
        <v>34.476430107955935</v>
      </c>
      <c r="AW102" s="51">
        <f t="shared" ca="1" si="82"/>
        <v>136.178280385422</v>
      </c>
      <c r="AX102" s="27">
        <f t="shared" ca="1" si="69"/>
        <v>0</v>
      </c>
      <c r="AY102" s="54">
        <f t="shared" ca="1" si="83"/>
        <v>0.54073281689356767</v>
      </c>
      <c r="AZ102" s="91">
        <f t="shared" si="70"/>
        <v>147.19275394994244</v>
      </c>
      <c r="BA102" s="33">
        <f t="shared" ca="1" si="56"/>
        <v>0.52057355371900815</v>
      </c>
      <c r="BB102" s="33">
        <f t="shared" ca="1" si="84"/>
        <v>10.473740747626881</v>
      </c>
    </row>
    <row r="103" spans="2:54" x14ac:dyDescent="0.25">
      <c r="B103" s="18"/>
      <c r="D103" s="154">
        <v>42248</v>
      </c>
      <c r="E103" s="58">
        <v>0</v>
      </c>
      <c r="G103" s="18"/>
      <c r="J103" s="10"/>
      <c r="L103" s="83">
        <f t="shared" si="57"/>
        <v>0</v>
      </c>
      <c r="M103" s="68"/>
      <c r="N103" s="62">
        <v>42248</v>
      </c>
      <c r="O103" s="37">
        <f t="shared" si="58"/>
        <v>0</v>
      </c>
      <c r="P103" s="85">
        <f t="shared" si="59"/>
        <v>0</v>
      </c>
      <c r="Q103" s="85">
        <f t="shared" si="60"/>
        <v>0</v>
      </c>
      <c r="R103" s="84">
        <f t="shared" si="71"/>
        <v>99245.154193860741</v>
      </c>
      <c r="S103" s="86">
        <f t="shared" si="61"/>
        <v>2.2783552386102097</v>
      </c>
      <c r="T103" s="85">
        <f t="shared" si="62"/>
        <v>145.52075394994242</v>
      </c>
      <c r="U103" s="88">
        <f>LOOKUP(N103,'weather data'!$B$7:$B$158,'weather data'!$C$7:$C$158)</f>
        <v>0</v>
      </c>
      <c r="V103" s="88">
        <f t="shared" si="63"/>
        <v>0</v>
      </c>
      <c r="W103" s="88">
        <f t="shared" si="72"/>
        <v>1.6720000000000002</v>
      </c>
      <c r="X103" s="79">
        <f>LOOKUP(N103,'weather data'!$B$7:$B$158,'weather data'!$E$7:$E$158)</f>
        <v>0.22</v>
      </c>
      <c r="Y103" s="6">
        <v>1</v>
      </c>
      <c r="Z103" s="6">
        <v>93</v>
      </c>
      <c r="AA103" s="95">
        <f t="shared" si="51"/>
        <v>122.97520661157024</v>
      </c>
      <c r="AB103" s="94">
        <f ca="1">FORECAST(AA103,OFFSET(Soils!$K$41:$K$57,MATCH(AA103,Soils!$J$41:$J$57,1)-1,0,2),OFFSET(Soils!$J$41:$J$57,MATCH(AA103,Soils!$J$41:$J$57,1)-1,0,2))</f>
        <v>0.68942148760330557</v>
      </c>
      <c r="AC103" s="92">
        <f t="shared" ca="1" si="73"/>
        <v>1</v>
      </c>
      <c r="AD103" s="92">
        <f t="shared" ca="1" si="64"/>
        <v>0.68942148760330557</v>
      </c>
      <c r="AE103" s="87">
        <f t="shared" ca="1" si="65"/>
        <v>0.15167272727272724</v>
      </c>
      <c r="AF103" s="87">
        <f t="shared" ca="1" si="74"/>
        <v>0.15167272727272724</v>
      </c>
      <c r="AG103" s="87">
        <f t="shared" ca="1" si="75"/>
        <v>10.625413474899609</v>
      </c>
      <c r="AH103" s="56">
        <f ca="1">FORECAST(AA103,OFFSET(Soils!$L$41:$L$57,MATCH(AA103,Soils!$J$41:$J$57,1)-1,0,2),OFFSET(Soils!$J$41:$J$57,MATCH(AA103,Soils!$J$41:$J$57,1)-1,0,2))</f>
        <v>0.77091489053211548</v>
      </c>
      <c r="AI103" s="27">
        <v>2</v>
      </c>
      <c r="AJ103" s="54"/>
      <c r="AK103" s="54">
        <f t="shared" si="53"/>
        <v>2.16</v>
      </c>
      <c r="AL103" s="54">
        <f t="shared" si="66"/>
        <v>54.863999999999997</v>
      </c>
      <c r="AM103" s="27">
        <f t="shared" si="76"/>
        <v>0.64800000000000002</v>
      </c>
      <c r="AN103" s="40">
        <f t="shared" si="77"/>
        <v>1.512</v>
      </c>
      <c r="AO103" s="27">
        <f t="shared" ca="1" si="78"/>
        <v>0</v>
      </c>
      <c r="AP103" s="27">
        <f t="shared" ca="1" si="54"/>
        <v>0.15167272727272724</v>
      </c>
      <c r="AQ103" s="27">
        <f t="shared" ca="1" si="79"/>
        <v>2.0083272727272727</v>
      </c>
      <c r="AR103" s="27">
        <f t="shared" ca="1" si="80"/>
        <v>1</v>
      </c>
      <c r="AS103" s="27">
        <f t="shared" ca="1" si="55"/>
        <v>0</v>
      </c>
      <c r="AT103" s="28">
        <f t="shared" ca="1" si="81"/>
        <v>136.71901320231558</v>
      </c>
      <c r="AU103" s="27">
        <f t="shared" ca="1" si="67"/>
        <v>0</v>
      </c>
      <c r="AV103" s="51">
        <f t="shared" ca="1" si="68"/>
        <v>0</v>
      </c>
      <c r="AW103" s="51">
        <f t="shared" ca="1" si="82"/>
        <v>136.178280385422</v>
      </c>
      <c r="AX103" s="27">
        <f t="shared" ca="1" si="69"/>
        <v>0</v>
      </c>
      <c r="AY103" s="54">
        <f t="shared" ca="1" si="83"/>
        <v>0.54073281689356767</v>
      </c>
      <c r="AZ103" s="91">
        <f t="shared" si="70"/>
        <v>147.19275394994244</v>
      </c>
      <c r="BA103" s="33">
        <f t="shared" ca="1" si="56"/>
        <v>0</v>
      </c>
      <c r="BB103" s="33">
        <f t="shared" ca="1" si="84"/>
        <v>10.473740747626881</v>
      </c>
    </row>
    <row r="104" spans="2:54" x14ac:dyDescent="0.25">
      <c r="B104" s="18"/>
      <c r="D104" s="154">
        <v>42249</v>
      </c>
      <c r="E104" s="58">
        <f>B39</f>
        <v>2561.4737708653165</v>
      </c>
      <c r="G104" s="18"/>
      <c r="J104" s="10"/>
      <c r="L104" s="83">
        <f t="shared" si="57"/>
        <v>2561.4737708653165</v>
      </c>
      <c r="M104" s="68"/>
      <c r="N104" s="62">
        <v>42249</v>
      </c>
      <c r="O104" s="37">
        <f t="shared" si="58"/>
        <v>2561.4737708653165</v>
      </c>
      <c r="P104" s="85">
        <f t="shared" si="59"/>
        <v>3.7558266434975316</v>
      </c>
      <c r="Q104" s="85">
        <f t="shared" si="60"/>
        <v>95.3979967448373</v>
      </c>
      <c r="R104" s="84">
        <f t="shared" si="71"/>
        <v>101806.62796472605</v>
      </c>
      <c r="S104" s="86">
        <f t="shared" si="61"/>
        <v>2.3371585850488072</v>
      </c>
      <c r="T104" s="85">
        <f t="shared" si="62"/>
        <v>149.27658059343995</v>
      </c>
      <c r="U104" s="88">
        <f>LOOKUP(N104,'weather data'!$B$7:$B$158,'weather data'!$C$7:$C$158)</f>
        <v>0</v>
      </c>
      <c r="V104" s="88">
        <f t="shared" si="63"/>
        <v>0</v>
      </c>
      <c r="W104" s="88">
        <f t="shared" si="72"/>
        <v>1.6720000000000002</v>
      </c>
      <c r="X104" s="79">
        <f>LOOKUP(N104,'weather data'!$B$7:$B$158,'weather data'!$E$7:$E$158)</f>
        <v>0.37</v>
      </c>
      <c r="Y104" s="6">
        <v>1</v>
      </c>
      <c r="Z104" s="6">
        <v>94</v>
      </c>
      <c r="AA104" s="95">
        <f t="shared" si="51"/>
        <v>124.29752066115702</v>
      </c>
      <c r="AB104" s="94">
        <f ca="1">FORECAST(AA104,OFFSET(Soils!$K$41:$K$57,MATCH(AA104,Soils!$J$41:$J$57,1)-1,0,2),OFFSET(Soils!$J$41:$J$57,MATCH(AA104,Soils!$J$41:$J$57,1)-1,0,2))</f>
        <v>0.66694214876033042</v>
      </c>
      <c r="AC104" s="92">
        <f t="shared" ca="1" si="73"/>
        <v>1</v>
      </c>
      <c r="AD104" s="92">
        <f t="shared" ca="1" si="64"/>
        <v>0.66694214876033042</v>
      </c>
      <c r="AE104" s="87">
        <f t="shared" ca="1" si="65"/>
        <v>0.24676859504132226</v>
      </c>
      <c r="AF104" s="87">
        <f t="shared" ca="1" si="74"/>
        <v>0.24676859504132226</v>
      </c>
      <c r="AG104" s="87">
        <f t="shared" ca="1" si="75"/>
        <v>10.872182069940932</v>
      </c>
      <c r="AH104" s="56">
        <f ca="1">FORECAST(AA104,OFFSET(Soils!$L$41:$L$57,MATCH(AA104,Soils!$J$41:$J$57,1)-1,0,2),OFFSET(Soils!$J$41:$J$57,MATCH(AA104,Soils!$J$41:$J$57,1)-1,0,2))</f>
        <v>0.7314774539654918</v>
      </c>
      <c r="AI104" s="27">
        <v>2</v>
      </c>
      <c r="AJ104" s="54"/>
      <c r="AK104" s="54">
        <f t="shared" si="53"/>
        <v>2.16</v>
      </c>
      <c r="AL104" s="54">
        <f t="shared" si="66"/>
        <v>54.863999999999997</v>
      </c>
      <c r="AM104" s="27">
        <f t="shared" si="76"/>
        <v>0.64800000000000002</v>
      </c>
      <c r="AN104" s="40">
        <f t="shared" si="77"/>
        <v>1.512</v>
      </c>
      <c r="AO104" s="27">
        <f t="shared" ca="1" si="78"/>
        <v>0.15167272727272724</v>
      </c>
      <c r="AP104" s="27">
        <f t="shared" ca="1" si="54"/>
        <v>0</v>
      </c>
      <c r="AQ104" s="27">
        <f t="shared" ca="1" si="79"/>
        <v>2.16</v>
      </c>
      <c r="AR104" s="27">
        <f t="shared" ca="1" si="80"/>
        <v>1</v>
      </c>
      <c r="AS104" s="27">
        <f t="shared" ca="1" si="55"/>
        <v>3.3573853211834819</v>
      </c>
      <c r="AT104" s="28">
        <f t="shared" ca="1" si="81"/>
        <v>140.07639852349905</v>
      </c>
      <c r="AU104" s="27">
        <f t="shared" ca="1" si="67"/>
        <v>3.3573853211834819</v>
      </c>
      <c r="AV104" s="51">
        <f t="shared" ca="1" si="68"/>
        <v>85.277587158060442</v>
      </c>
      <c r="AW104" s="51">
        <f t="shared" ca="1" si="82"/>
        <v>139.53566570660547</v>
      </c>
      <c r="AX104" s="27">
        <f t="shared" ca="1" si="69"/>
        <v>0</v>
      </c>
      <c r="AY104" s="54">
        <f t="shared" ca="1" si="83"/>
        <v>0.54073281689356767</v>
      </c>
      <c r="AZ104" s="91">
        <f t="shared" si="70"/>
        <v>150.94858059343997</v>
      </c>
      <c r="BA104" s="33">
        <f t="shared" ca="1" si="56"/>
        <v>0.39844132231404972</v>
      </c>
      <c r="BB104" s="33">
        <f t="shared" ca="1" si="84"/>
        <v>10.87218206994093</v>
      </c>
    </row>
    <row r="105" spans="2:54" x14ac:dyDescent="0.25">
      <c r="B105" s="18"/>
      <c r="D105" s="154">
        <v>42250</v>
      </c>
      <c r="E105" s="58">
        <v>0</v>
      </c>
      <c r="G105" s="18"/>
      <c r="J105" s="10"/>
      <c r="L105" s="83">
        <f t="shared" si="57"/>
        <v>0</v>
      </c>
      <c r="M105" s="68"/>
      <c r="N105" s="62">
        <v>42250</v>
      </c>
      <c r="O105" s="37">
        <f t="shared" si="58"/>
        <v>0</v>
      </c>
      <c r="P105" s="85">
        <f t="shared" si="59"/>
        <v>0</v>
      </c>
      <c r="Q105" s="85">
        <f t="shared" si="60"/>
        <v>0</v>
      </c>
      <c r="R105" s="84">
        <f t="shared" si="71"/>
        <v>101806.62796472605</v>
      </c>
      <c r="S105" s="86">
        <f t="shared" si="61"/>
        <v>2.3371585850488072</v>
      </c>
      <c r="T105" s="85">
        <f t="shared" si="62"/>
        <v>149.27658059343995</v>
      </c>
      <c r="U105" s="88">
        <f>LOOKUP(N105,'weather data'!$B$7:$B$158,'weather data'!$C$7:$C$158)</f>
        <v>0</v>
      </c>
      <c r="V105" s="88">
        <f t="shared" si="63"/>
        <v>0</v>
      </c>
      <c r="W105" s="88">
        <f t="shared" si="72"/>
        <v>1.6720000000000002</v>
      </c>
      <c r="X105" s="79">
        <f>LOOKUP(N105,'weather data'!$B$7:$B$158,'weather data'!$E$7:$E$158)</f>
        <v>0.35</v>
      </c>
      <c r="Y105" s="6">
        <v>1</v>
      </c>
      <c r="Z105" s="6">
        <v>95</v>
      </c>
      <c r="AA105" s="95">
        <f t="shared" si="51"/>
        <v>125.6198347107438</v>
      </c>
      <c r="AB105" s="94">
        <f ca="1">FORECAST(AA105,OFFSET(Soils!$K$41:$K$57,MATCH(AA105,Soils!$J$41:$J$57,1)-1,0,2),OFFSET(Soils!$J$41:$J$57,MATCH(AA105,Soils!$J$41:$J$57,1)-1,0,2))</f>
        <v>0.64446280991735483</v>
      </c>
      <c r="AC105" s="92">
        <f t="shared" ca="1" si="73"/>
        <v>1</v>
      </c>
      <c r="AD105" s="92">
        <f t="shared" ca="1" si="64"/>
        <v>0.64446280991735483</v>
      </c>
      <c r="AE105" s="87">
        <f t="shared" ca="1" si="65"/>
        <v>0.22556198347107417</v>
      </c>
      <c r="AF105" s="87">
        <f t="shared" ca="1" si="74"/>
        <v>0.22556198347107417</v>
      </c>
      <c r="AG105" s="87">
        <f t="shared" ca="1" si="75"/>
        <v>11.097744053412006</v>
      </c>
      <c r="AH105" s="56">
        <f ca="1">FORECAST(AA105,OFFSET(Soils!$L$41:$L$57,MATCH(AA105,Soils!$J$41:$J$57,1)-1,0,2),OFFSET(Soils!$J$41:$J$57,MATCH(AA105,Soils!$J$41:$J$57,1)-1,0,2))</f>
        <v>0.69204001739886856</v>
      </c>
      <c r="AI105" s="27">
        <v>2</v>
      </c>
      <c r="AJ105" s="54"/>
      <c r="AK105" s="54">
        <f t="shared" si="53"/>
        <v>2.16</v>
      </c>
      <c r="AL105" s="54">
        <f t="shared" si="66"/>
        <v>54.863999999999997</v>
      </c>
      <c r="AM105" s="27">
        <f t="shared" si="76"/>
        <v>0.64800000000000002</v>
      </c>
      <c r="AN105" s="40">
        <f t="shared" si="77"/>
        <v>1.512</v>
      </c>
      <c r="AO105" s="27">
        <f t="shared" ca="1" si="78"/>
        <v>0</v>
      </c>
      <c r="AP105" s="27">
        <f t="shared" ca="1" si="54"/>
        <v>0.22556198347107417</v>
      </c>
      <c r="AQ105" s="27">
        <f t="shared" ca="1" si="79"/>
        <v>1.9344380165289259</v>
      </c>
      <c r="AR105" s="27">
        <f t="shared" ca="1" si="80"/>
        <v>1</v>
      </c>
      <c r="AS105" s="27">
        <f t="shared" ca="1" si="55"/>
        <v>0</v>
      </c>
      <c r="AT105" s="28">
        <f t="shared" ca="1" si="81"/>
        <v>140.07639852349905</v>
      </c>
      <c r="AU105" s="27">
        <f t="shared" ca="1" si="67"/>
        <v>0</v>
      </c>
      <c r="AV105" s="51">
        <f t="shared" ca="1" si="68"/>
        <v>0</v>
      </c>
      <c r="AW105" s="51">
        <f t="shared" ca="1" si="82"/>
        <v>139.53566570660547</v>
      </c>
      <c r="AX105" s="27">
        <f t="shared" ca="1" si="69"/>
        <v>0</v>
      </c>
      <c r="AY105" s="54">
        <f t="shared" ca="1" si="83"/>
        <v>0.54073281689356767</v>
      </c>
      <c r="AZ105" s="91">
        <f t="shared" si="70"/>
        <v>150.94858059343997</v>
      </c>
      <c r="BA105" s="33">
        <f t="shared" ca="1" si="56"/>
        <v>0</v>
      </c>
      <c r="BB105" s="33">
        <f t="shared" ca="1" si="84"/>
        <v>10.87218206994093</v>
      </c>
    </row>
    <row r="106" spans="2:54" x14ac:dyDescent="0.25">
      <c r="B106" s="18"/>
      <c r="D106" s="154">
        <v>42251</v>
      </c>
      <c r="E106" s="58">
        <f>B40</f>
        <v>2561.473770865317</v>
      </c>
      <c r="G106" s="18"/>
      <c r="J106" s="10"/>
      <c r="L106" s="83">
        <f t="shared" si="57"/>
        <v>2561.473770865317</v>
      </c>
      <c r="M106" s="68"/>
      <c r="N106" s="62">
        <v>42251</v>
      </c>
      <c r="O106" s="37">
        <f t="shared" si="58"/>
        <v>2561.473770865317</v>
      </c>
      <c r="P106" s="85">
        <f t="shared" si="59"/>
        <v>3.7558266434975325</v>
      </c>
      <c r="Q106" s="85">
        <f t="shared" si="60"/>
        <v>95.397996744837315</v>
      </c>
      <c r="R106" s="84">
        <f t="shared" si="71"/>
        <v>104368.10173559136</v>
      </c>
      <c r="S106" s="86">
        <f t="shared" si="61"/>
        <v>2.3959619314874052</v>
      </c>
      <c r="T106" s="85">
        <f t="shared" si="62"/>
        <v>153.0324072369375</v>
      </c>
      <c r="U106" s="88">
        <f>LOOKUP(N106,'weather data'!$B$7:$B$158,'weather data'!$C$7:$C$158)</f>
        <v>0</v>
      </c>
      <c r="V106" s="88">
        <f t="shared" si="63"/>
        <v>0</v>
      </c>
      <c r="W106" s="88">
        <f t="shared" si="72"/>
        <v>1.6720000000000002</v>
      </c>
      <c r="X106" s="79">
        <f>LOOKUP(N106,'weather data'!$B$7:$B$158,'weather data'!$E$7:$E$158)</f>
        <v>0.28999999999999998</v>
      </c>
      <c r="Y106" s="6">
        <v>1</v>
      </c>
      <c r="Z106" s="6">
        <v>96</v>
      </c>
      <c r="AA106" s="95">
        <f t="shared" si="51"/>
        <v>126.94214876033058</v>
      </c>
      <c r="AB106" s="94">
        <f ca="1">FORECAST(AA106,OFFSET(Soils!$K$41:$K$57,MATCH(AA106,Soils!$J$41:$J$57,1)-1,0,2),OFFSET(Soils!$J$41:$J$57,MATCH(AA106,Soils!$J$41:$J$57,1)-1,0,2))</f>
        <v>0.62198347107437968</v>
      </c>
      <c r="AC106" s="92">
        <f t="shared" ca="1" si="73"/>
        <v>1</v>
      </c>
      <c r="AD106" s="92">
        <f t="shared" ca="1" si="64"/>
        <v>0.62198347107437968</v>
      </c>
      <c r="AE106" s="87">
        <f t="shared" ca="1" si="65"/>
        <v>0.18037520661157008</v>
      </c>
      <c r="AF106" s="87">
        <f t="shared" ca="1" si="74"/>
        <v>0.18037520661157008</v>
      </c>
      <c r="AG106" s="87">
        <f t="shared" ca="1" si="75"/>
        <v>11.278119260023576</v>
      </c>
      <c r="AH106" s="56">
        <f ca="1">FORECAST(AA106,OFFSET(Soils!$L$41:$L$57,MATCH(AA106,Soils!$J$41:$J$57,1)-1,0,2),OFFSET(Soils!$J$41:$J$57,MATCH(AA106,Soils!$J$41:$J$57,1)-1,0,2))</f>
        <v>0.65260258083224532</v>
      </c>
      <c r="AI106" s="27">
        <v>2</v>
      </c>
      <c r="AJ106" s="54"/>
      <c r="AK106" s="54">
        <f t="shared" si="53"/>
        <v>2.16</v>
      </c>
      <c r="AL106" s="54">
        <f t="shared" si="66"/>
        <v>54.863999999999997</v>
      </c>
      <c r="AM106" s="27">
        <f t="shared" si="76"/>
        <v>0.64800000000000002</v>
      </c>
      <c r="AN106" s="40">
        <f t="shared" si="77"/>
        <v>1.512</v>
      </c>
      <c r="AO106" s="27">
        <f t="shared" ca="1" si="78"/>
        <v>0.22556198347107417</v>
      </c>
      <c r="AP106" s="27">
        <f t="shared" ca="1" si="54"/>
        <v>0</v>
      </c>
      <c r="AQ106" s="27">
        <f t="shared" ca="1" si="79"/>
        <v>2.16</v>
      </c>
      <c r="AR106" s="27">
        <f t="shared" ca="1" si="80"/>
        <v>1</v>
      </c>
      <c r="AS106" s="27">
        <f t="shared" ca="1" si="55"/>
        <v>3.349889453414888</v>
      </c>
      <c r="AT106" s="28">
        <f t="shared" ca="1" si="81"/>
        <v>143.42628797691393</v>
      </c>
      <c r="AU106" s="27">
        <f t="shared" ca="1" si="67"/>
        <v>3.349889453414888</v>
      </c>
      <c r="AV106" s="51">
        <f t="shared" ca="1" si="68"/>
        <v>85.087192116738152</v>
      </c>
      <c r="AW106" s="51">
        <f t="shared" ca="1" si="82"/>
        <v>142.88555516002035</v>
      </c>
      <c r="AX106" s="27">
        <f t="shared" ca="1" si="69"/>
        <v>0</v>
      </c>
      <c r="AY106" s="54">
        <f t="shared" ca="1" si="83"/>
        <v>0.54073281689356767</v>
      </c>
      <c r="AZ106" s="91">
        <f t="shared" si="70"/>
        <v>154.7044072369375</v>
      </c>
      <c r="BA106" s="33">
        <f t="shared" ca="1" si="56"/>
        <v>0.40593719008264451</v>
      </c>
      <c r="BB106" s="33">
        <f t="shared" ca="1" si="84"/>
        <v>11.278119260023574</v>
      </c>
    </row>
    <row r="107" spans="2:54" x14ac:dyDescent="0.25">
      <c r="B107" s="18"/>
      <c r="D107" s="154">
        <v>42252</v>
      </c>
      <c r="E107" s="58">
        <v>0</v>
      </c>
      <c r="G107" s="18"/>
      <c r="J107" s="10"/>
      <c r="L107" s="83">
        <f t="shared" si="57"/>
        <v>0</v>
      </c>
      <c r="M107" s="68"/>
      <c r="N107" s="62">
        <v>42252</v>
      </c>
      <c r="O107" s="37">
        <f t="shared" si="58"/>
        <v>0</v>
      </c>
      <c r="P107" s="85">
        <f t="shared" si="59"/>
        <v>0</v>
      </c>
      <c r="Q107" s="85">
        <f t="shared" si="60"/>
        <v>0</v>
      </c>
      <c r="R107" s="84">
        <f t="shared" si="71"/>
        <v>104368.10173559136</v>
      </c>
      <c r="S107" s="86">
        <f t="shared" si="61"/>
        <v>2.3959619314874052</v>
      </c>
      <c r="T107" s="85">
        <f t="shared" si="62"/>
        <v>153.0324072369375</v>
      </c>
      <c r="U107" s="88">
        <f>LOOKUP(N107,'weather data'!$B$7:$B$158,'weather data'!$C$7:$C$158)</f>
        <v>0</v>
      </c>
      <c r="V107" s="88">
        <f t="shared" si="63"/>
        <v>0</v>
      </c>
      <c r="W107" s="88">
        <f t="shared" si="72"/>
        <v>1.6720000000000002</v>
      </c>
      <c r="X107" s="79">
        <f>LOOKUP(N107,'weather data'!$B$7:$B$158,'weather data'!$E$7:$E$158)</f>
        <v>0.2</v>
      </c>
      <c r="Y107" s="6">
        <v>1</v>
      </c>
      <c r="Z107" s="6">
        <v>97</v>
      </c>
      <c r="AA107" s="95">
        <f t="shared" ref="AA107:AA127" si="85">Z107*160/$Z$131</f>
        <v>128.26446280991735</v>
      </c>
      <c r="AB107" s="94">
        <f ca="1">FORECAST(AA107,OFFSET(Soils!$K$41:$K$57,MATCH(AA107,Soils!$J$41:$J$57,1)-1,0,2),OFFSET(Soils!$J$41:$J$57,MATCH(AA107,Soils!$J$41:$J$57,1)-1,0,2))</f>
        <v>0.59950413223140453</v>
      </c>
      <c r="AC107" s="92">
        <f t="shared" ca="1" si="73"/>
        <v>1</v>
      </c>
      <c r="AD107" s="92">
        <f t="shared" ca="1" si="64"/>
        <v>0.59950413223140453</v>
      </c>
      <c r="AE107" s="87">
        <f t="shared" ca="1" si="65"/>
        <v>0.11990082644628092</v>
      </c>
      <c r="AF107" s="87">
        <f t="shared" ca="1" si="74"/>
        <v>0.11990082644628092</v>
      </c>
      <c r="AG107" s="87">
        <f t="shared" ca="1" si="75"/>
        <v>11.398020086469858</v>
      </c>
      <c r="AH107" s="56">
        <f ca="1">FORECAST(AA107,OFFSET(Soils!$L$41:$L$57,MATCH(AA107,Soils!$J$41:$J$57,1)-1,0,2),OFFSET(Soils!$J$41:$J$57,MATCH(AA107,Soils!$J$41:$J$57,1)-1,0,2))</f>
        <v>0.61316514426562252</v>
      </c>
      <c r="AI107" s="27">
        <v>2</v>
      </c>
      <c r="AJ107" s="54"/>
      <c r="AK107" s="54">
        <f t="shared" si="53"/>
        <v>2.16</v>
      </c>
      <c r="AL107" s="54">
        <f t="shared" si="66"/>
        <v>54.863999999999997</v>
      </c>
      <c r="AM107" s="27">
        <f t="shared" si="76"/>
        <v>0.64800000000000002</v>
      </c>
      <c r="AN107" s="40">
        <f t="shared" si="77"/>
        <v>1.512</v>
      </c>
      <c r="AO107" s="27">
        <f t="shared" ca="1" si="78"/>
        <v>0</v>
      </c>
      <c r="AP107" s="27">
        <f t="shared" ref="AP107:AP127" ca="1" si="86">IF(AO107+AF107-P107-V107&lt;0,0,AO107+AF107-P107-V107)</f>
        <v>0.11990082644628092</v>
      </c>
      <c r="AQ107" s="27">
        <f t="shared" ca="1" si="79"/>
        <v>2.0400991735537191</v>
      </c>
      <c r="AR107" s="27">
        <f t="shared" ca="1" si="80"/>
        <v>1</v>
      </c>
      <c r="AS107" s="27">
        <f t="shared" ref="AS107:AS127" ca="1" si="87">IF(P107+V107-AF107&gt;AO107,P107+V107-AF107-AO107,0)</f>
        <v>0</v>
      </c>
      <c r="AT107" s="28">
        <f t="shared" ca="1" si="81"/>
        <v>143.42628797691393</v>
      </c>
      <c r="AU107" s="27">
        <f t="shared" ca="1" si="67"/>
        <v>0</v>
      </c>
      <c r="AV107" s="51">
        <f t="shared" ca="1" si="68"/>
        <v>0</v>
      </c>
      <c r="AW107" s="51">
        <f t="shared" ca="1" si="82"/>
        <v>142.88555516002035</v>
      </c>
      <c r="AX107" s="27">
        <f t="shared" ca="1" si="69"/>
        <v>0</v>
      </c>
      <c r="AY107" s="54">
        <f t="shared" ca="1" si="83"/>
        <v>0.54073281689356767</v>
      </c>
      <c r="AZ107" s="91">
        <f t="shared" si="70"/>
        <v>154.7044072369375</v>
      </c>
      <c r="BA107" s="33">
        <f t="shared" ref="BA107:BA127" ca="1" si="88">P107+V107-AS107</f>
        <v>0</v>
      </c>
      <c r="BB107" s="33">
        <f t="shared" ca="1" si="84"/>
        <v>11.278119260023574</v>
      </c>
    </row>
    <row r="108" spans="2:54" x14ac:dyDescent="0.25">
      <c r="B108" s="18"/>
      <c r="D108" s="154">
        <v>42253</v>
      </c>
      <c r="E108" s="58">
        <v>0</v>
      </c>
      <c r="G108" s="18"/>
      <c r="J108" s="10"/>
      <c r="L108" s="83">
        <f t="shared" si="57"/>
        <v>0</v>
      </c>
      <c r="M108" s="68"/>
      <c r="N108" s="62">
        <v>42253</v>
      </c>
      <c r="O108" s="37">
        <f t="shared" si="58"/>
        <v>0</v>
      </c>
      <c r="P108" s="85">
        <f t="shared" si="59"/>
        <v>0</v>
      </c>
      <c r="Q108" s="85">
        <f t="shared" si="60"/>
        <v>0</v>
      </c>
      <c r="R108" s="84">
        <f t="shared" si="71"/>
        <v>104368.10173559136</v>
      </c>
      <c r="S108" s="86">
        <f t="shared" si="61"/>
        <v>2.3959619314874052</v>
      </c>
      <c r="T108" s="85">
        <f t="shared" si="62"/>
        <v>153.0324072369375</v>
      </c>
      <c r="U108" s="88">
        <f>LOOKUP(N108,'weather data'!$B$7:$B$158,'weather data'!$C$7:$C$158)</f>
        <v>0</v>
      </c>
      <c r="V108" s="88">
        <f t="shared" si="63"/>
        <v>0</v>
      </c>
      <c r="W108" s="88">
        <f t="shared" si="72"/>
        <v>1.6720000000000002</v>
      </c>
      <c r="X108" s="79">
        <f>LOOKUP(N108,'weather data'!$B$7:$B$158,'weather data'!$E$7:$E$158)</f>
        <v>0.16</v>
      </c>
      <c r="Y108" s="6">
        <v>1</v>
      </c>
      <c r="Z108" s="6">
        <v>98</v>
      </c>
      <c r="AA108" s="95">
        <f t="shared" si="85"/>
        <v>129.58677685950414</v>
      </c>
      <c r="AB108" s="94">
        <f ca="1">FORECAST(AA108,OFFSET(Soils!$K$41:$K$57,MATCH(AA108,Soils!$J$41:$J$57,1)-1,0,2),OFFSET(Soils!$J$41:$J$57,MATCH(AA108,Soils!$J$41:$J$57,1)-1,0,2))</f>
        <v>0.57702479338842938</v>
      </c>
      <c r="AC108" s="92">
        <f t="shared" ca="1" si="73"/>
        <v>1</v>
      </c>
      <c r="AD108" s="92">
        <f t="shared" ca="1" si="64"/>
        <v>0.57702479338842938</v>
      </c>
      <c r="AE108" s="87">
        <f t="shared" ca="1" si="65"/>
        <v>9.23239669421487E-2</v>
      </c>
      <c r="AF108" s="87">
        <f t="shared" ca="1" si="74"/>
        <v>9.23239669421487E-2</v>
      </c>
      <c r="AG108" s="87">
        <f t="shared" ca="1" si="75"/>
        <v>11.490344053412006</v>
      </c>
      <c r="AH108" s="56">
        <f ca="1">FORECAST(AA108,OFFSET(Soils!$L$41:$L$57,MATCH(AA108,Soils!$J$41:$J$57,1)-1,0,2),OFFSET(Soils!$J$41:$J$57,MATCH(AA108,Soils!$J$41:$J$57,1)-1,0,2))</f>
        <v>0.57372770769899883</v>
      </c>
      <c r="AI108" s="27">
        <v>2</v>
      </c>
      <c r="AJ108" s="54"/>
      <c r="AK108" s="54">
        <f t="shared" si="53"/>
        <v>2.16</v>
      </c>
      <c r="AL108" s="54">
        <f t="shared" si="66"/>
        <v>54.863999999999997</v>
      </c>
      <c r="AM108" s="27">
        <f t="shared" si="76"/>
        <v>0.64800000000000002</v>
      </c>
      <c r="AN108" s="40">
        <f t="shared" si="77"/>
        <v>1.512</v>
      </c>
      <c r="AO108" s="27">
        <f t="shared" ca="1" si="78"/>
        <v>0.11990082644628092</v>
      </c>
      <c r="AP108" s="27">
        <f t="shared" ca="1" si="86"/>
        <v>0.21222479338842962</v>
      </c>
      <c r="AQ108" s="27">
        <f t="shared" ca="1" si="79"/>
        <v>1.9477752066115706</v>
      </c>
      <c r="AR108" s="27">
        <f t="shared" ca="1" si="80"/>
        <v>1</v>
      </c>
      <c r="AS108" s="27">
        <f t="shared" ca="1" si="87"/>
        <v>0</v>
      </c>
      <c r="AT108" s="28">
        <f t="shared" ca="1" si="81"/>
        <v>143.42628797691393</v>
      </c>
      <c r="AU108" s="27">
        <f t="shared" ca="1" si="67"/>
        <v>0</v>
      </c>
      <c r="AV108" s="51">
        <f t="shared" ca="1" si="68"/>
        <v>0</v>
      </c>
      <c r="AW108" s="51">
        <f t="shared" ca="1" si="82"/>
        <v>142.88555516002035</v>
      </c>
      <c r="AX108" s="27">
        <f t="shared" ca="1" si="69"/>
        <v>0</v>
      </c>
      <c r="AY108" s="54">
        <f t="shared" ca="1" si="83"/>
        <v>0.54073281689356767</v>
      </c>
      <c r="AZ108" s="91">
        <f t="shared" ref="AZ108:AZ127" si="89">P108+V108+AZ107</f>
        <v>154.7044072369375</v>
      </c>
      <c r="BA108" s="33">
        <f t="shared" ca="1" si="88"/>
        <v>0</v>
      </c>
      <c r="BB108" s="33">
        <f t="shared" ca="1" si="84"/>
        <v>11.278119260023574</v>
      </c>
    </row>
    <row r="109" spans="2:54" x14ac:dyDescent="0.25">
      <c r="B109" s="18"/>
      <c r="D109" s="154">
        <v>42254</v>
      </c>
      <c r="E109" s="58">
        <f>B41</f>
        <v>5122.9475417306367</v>
      </c>
      <c r="G109" s="18"/>
      <c r="J109" s="10"/>
      <c r="L109" s="83">
        <f t="shared" si="57"/>
        <v>5122.9475417306367</v>
      </c>
      <c r="M109" s="68"/>
      <c r="N109" s="62">
        <v>42254</v>
      </c>
      <c r="O109" s="37">
        <f t="shared" si="58"/>
        <v>5122.9475417306367</v>
      </c>
      <c r="P109" s="85">
        <f t="shared" si="59"/>
        <v>7.5116532869950685</v>
      </c>
      <c r="Q109" s="85">
        <f t="shared" si="60"/>
        <v>190.79599348967474</v>
      </c>
      <c r="R109" s="84">
        <f t="shared" si="71"/>
        <v>109491.049277322</v>
      </c>
      <c r="S109" s="86">
        <f t="shared" si="61"/>
        <v>2.5135686243646007</v>
      </c>
      <c r="T109" s="85">
        <f t="shared" si="62"/>
        <v>160.54406052393259</v>
      </c>
      <c r="U109" s="88">
        <f>LOOKUP(N109,'weather data'!$B$7:$B$158,'weather data'!$C$7:$C$158)</f>
        <v>0</v>
      </c>
      <c r="V109" s="88">
        <f t="shared" si="63"/>
        <v>0</v>
      </c>
      <c r="W109" s="88">
        <f t="shared" si="72"/>
        <v>1.6720000000000002</v>
      </c>
      <c r="X109" s="79">
        <f>LOOKUP(N109,'weather data'!$B$7:$B$158,'weather data'!$E$7:$E$158)</f>
        <v>0.2</v>
      </c>
      <c r="Y109" s="6">
        <v>1</v>
      </c>
      <c r="Z109" s="6">
        <v>99</v>
      </c>
      <c r="AA109" s="95">
        <f t="shared" si="85"/>
        <v>130.90909090909091</v>
      </c>
      <c r="AB109" s="94">
        <f ca="1">FORECAST(AA109,OFFSET(Soils!$K$41:$K$57,MATCH(AA109,Soils!$J$41:$J$57,1)-1,0,2),OFFSET(Soils!$J$41:$J$57,MATCH(AA109,Soils!$J$41:$J$57,1)-1,0,2))</f>
        <v>0.5536363636363637</v>
      </c>
      <c r="AC109" s="92">
        <f t="shared" ca="1" si="73"/>
        <v>1</v>
      </c>
      <c r="AD109" s="92">
        <f t="shared" ca="1" si="64"/>
        <v>0.5536363636363637</v>
      </c>
      <c r="AE109" s="87">
        <f t="shared" ca="1" si="65"/>
        <v>0.11072727272727274</v>
      </c>
      <c r="AF109" s="87">
        <f t="shared" ca="1" si="74"/>
        <v>0.11072727272727274</v>
      </c>
      <c r="AG109" s="87">
        <f t="shared" ca="1" si="75"/>
        <v>11.601071326139278</v>
      </c>
      <c r="AH109" s="56">
        <f ca="1">FORECAST(AA109,OFFSET(Soils!$L$41:$L$57,MATCH(AA109,Soils!$J$41:$J$57,1)-1,0,2),OFFSET(Soils!$J$41:$J$57,MATCH(AA109,Soils!$J$41:$J$57,1)-1,0,2))</f>
        <v>0.532695374800638</v>
      </c>
      <c r="AI109" s="27">
        <v>2</v>
      </c>
      <c r="AJ109" s="54"/>
      <c r="AK109" s="54">
        <f t="shared" si="53"/>
        <v>2.16</v>
      </c>
      <c r="AL109" s="54">
        <f t="shared" si="66"/>
        <v>54.863999999999997</v>
      </c>
      <c r="AM109" s="27">
        <f t="shared" si="76"/>
        <v>0.64800000000000002</v>
      </c>
      <c r="AN109" s="40">
        <f t="shared" si="77"/>
        <v>1.512</v>
      </c>
      <c r="AO109" s="27">
        <f t="shared" ca="1" si="78"/>
        <v>0.21222479338842962</v>
      </c>
      <c r="AP109" s="27">
        <f t="shared" ca="1" si="86"/>
        <v>0</v>
      </c>
      <c r="AQ109" s="27">
        <f t="shared" ca="1" si="79"/>
        <v>2.16</v>
      </c>
      <c r="AR109" s="27">
        <f t="shared" ca="1" si="80"/>
        <v>1</v>
      </c>
      <c r="AS109" s="27">
        <f t="shared" ca="1" si="87"/>
        <v>7.1887012208793664</v>
      </c>
      <c r="AT109" s="28">
        <f t="shared" ca="1" si="81"/>
        <v>150.61498919779331</v>
      </c>
      <c r="AU109" s="27">
        <f t="shared" ca="1" si="67"/>
        <v>7.1887012208793664</v>
      </c>
      <c r="AV109" s="51">
        <f t="shared" ca="1" si="68"/>
        <v>182.59301101033589</v>
      </c>
      <c r="AW109" s="51">
        <f t="shared" ca="1" si="82"/>
        <v>150.07425638089973</v>
      </c>
      <c r="AX109" s="27">
        <f t="shared" ca="1" si="69"/>
        <v>0</v>
      </c>
      <c r="AY109" s="54">
        <f t="shared" ca="1" si="83"/>
        <v>0.54073281689356767</v>
      </c>
      <c r="AZ109" s="91">
        <f t="shared" si="89"/>
        <v>162.21606052393255</v>
      </c>
      <c r="BA109" s="33">
        <f t="shared" ca="1" si="88"/>
        <v>0.32295206611570215</v>
      </c>
      <c r="BB109" s="33">
        <f t="shared" ca="1" si="84"/>
        <v>11.601071326139277</v>
      </c>
    </row>
    <row r="110" spans="2:54" x14ac:dyDescent="0.25">
      <c r="B110" s="18"/>
      <c r="D110" s="154">
        <v>42255</v>
      </c>
      <c r="E110" s="58">
        <v>0</v>
      </c>
      <c r="G110" s="18"/>
      <c r="J110" s="10"/>
      <c r="L110" s="83">
        <f t="shared" si="57"/>
        <v>0</v>
      </c>
      <c r="M110" s="68"/>
      <c r="N110" s="62">
        <v>42255</v>
      </c>
      <c r="O110" s="37">
        <f t="shared" si="58"/>
        <v>0</v>
      </c>
      <c r="P110" s="85">
        <f t="shared" si="59"/>
        <v>0</v>
      </c>
      <c r="Q110" s="85">
        <f t="shared" si="60"/>
        <v>0</v>
      </c>
      <c r="R110" s="84">
        <f t="shared" si="71"/>
        <v>109491.049277322</v>
      </c>
      <c r="S110" s="86">
        <f t="shared" si="61"/>
        <v>2.5135686243646007</v>
      </c>
      <c r="T110" s="85">
        <f t="shared" si="62"/>
        <v>160.54406052393259</v>
      </c>
      <c r="U110" s="88">
        <f>LOOKUP(N110,'weather data'!$B$7:$B$158,'weather data'!$C$7:$C$158)</f>
        <v>0</v>
      </c>
      <c r="V110" s="88">
        <f t="shared" si="63"/>
        <v>0</v>
      </c>
      <c r="W110" s="88">
        <f t="shared" si="72"/>
        <v>1.6720000000000002</v>
      </c>
      <c r="X110" s="79">
        <f>LOOKUP(N110,'weather data'!$B$7:$B$158,'weather data'!$E$7:$E$158)</f>
        <v>0.18</v>
      </c>
      <c r="Y110" s="6">
        <v>1</v>
      </c>
      <c r="Z110" s="6">
        <v>100</v>
      </c>
      <c r="AA110" s="95">
        <f t="shared" si="85"/>
        <v>132.23140495867767</v>
      </c>
      <c r="AB110" s="94">
        <f ca="1">FORECAST(AA110,OFFSET(Soils!$K$41:$K$57,MATCH(AA110,Soils!$J$41:$J$57,1)-1,0,2),OFFSET(Soils!$J$41:$J$57,MATCH(AA110,Soils!$J$41:$J$57,1)-1,0,2))</f>
        <v>0.52983471074380173</v>
      </c>
      <c r="AC110" s="92">
        <f t="shared" ca="1" si="73"/>
        <v>1</v>
      </c>
      <c r="AD110" s="92">
        <f t="shared" ca="1" si="64"/>
        <v>0.52983471074380173</v>
      </c>
      <c r="AE110" s="87">
        <f t="shared" ca="1" si="65"/>
        <v>9.5370247933884308E-2</v>
      </c>
      <c r="AF110" s="87">
        <f t="shared" ca="1" si="74"/>
        <v>9.5370247933884308E-2</v>
      </c>
      <c r="AG110" s="87">
        <f t="shared" ca="1" si="75"/>
        <v>11.696441574073162</v>
      </c>
      <c r="AH110" s="56">
        <f ca="1">FORECAST(AA110,OFFSET(Soils!$L$41:$L$57,MATCH(AA110,Soils!$J$41:$J$57,1)-1,0,2),OFFSET(Soils!$J$41:$J$57,MATCH(AA110,Soils!$J$41:$J$57,1)-1,0,2))</f>
        <v>0.49093808902421365</v>
      </c>
      <c r="AI110" s="27">
        <v>2</v>
      </c>
      <c r="AJ110" s="54"/>
      <c r="AK110" s="54">
        <f t="shared" si="53"/>
        <v>2.16</v>
      </c>
      <c r="AL110" s="54">
        <f t="shared" si="66"/>
        <v>54.863999999999997</v>
      </c>
      <c r="AM110" s="27">
        <f t="shared" si="76"/>
        <v>0.64800000000000002</v>
      </c>
      <c r="AN110" s="40">
        <f t="shared" si="77"/>
        <v>1.512</v>
      </c>
      <c r="AO110" s="27">
        <f t="shared" ca="1" si="78"/>
        <v>0</v>
      </c>
      <c r="AP110" s="27">
        <f t="shared" ca="1" si="86"/>
        <v>9.5370247933884308E-2</v>
      </c>
      <c r="AQ110" s="27">
        <f t="shared" ca="1" si="79"/>
        <v>2.0646297520661157</v>
      </c>
      <c r="AR110" s="27">
        <f t="shared" ca="1" si="80"/>
        <v>1</v>
      </c>
      <c r="AS110" s="27">
        <f t="shared" ca="1" si="87"/>
        <v>0</v>
      </c>
      <c r="AT110" s="28">
        <f t="shared" ca="1" si="81"/>
        <v>150.61498919779331</v>
      </c>
      <c r="AU110" s="27">
        <f t="shared" ca="1" si="67"/>
        <v>0</v>
      </c>
      <c r="AV110" s="51">
        <f t="shared" ca="1" si="68"/>
        <v>0</v>
      </c>
      <c r="AW110" s="51">
        <f t="shared" ca="1" si="82"/>
        <v>150.07425638089973</v>
      </c>
      <c r="AX110" s="27">
        <f t="shared" ca="1" si="69"/>
        <v>0</v>
      </c>
      <c r="AY110" s="54">
        <f t="shared" ca="1" si="83"/>
        <v>0.54073281689356767</v>
      </c>
      <c r="AZ110" s="91">
        <f t="shared" si="89"/>
        <v>162.21606052393255</v>
      </c>
      <c r="BA110" s="33">
        <f t="shared" ca="1" si="88"/>
        <v>0</v>
      </c>
      <c r="BB110" s="33">
        <f t="shared" ca="1" si="84"/>
        <v>11.601071326139277</v>
      </c>
    </row>
    <row r="111" spans="2:54" x14ac:dyDescent="0.25">
      <c r="B111" s="18"/>
      <c r="D111" s="154">
        <v>42256</v>
      </c>
      <c r="E111" s="58">
        <f>B42</f>
        <v>2561.4737708653165</v>
      </c>
      <c r="G111" s="18"/>
      <c r="L111" s="83">
        <f t="shared" si="57"/>
        <v>2561.4737708653165</v>
      </c>
      <c r="M111" s="68"/>
      <c r="N111" s="62">
        <v>42256</v>
      </c>
      <c r="O111" s="37">
        <f t="shared" si="58"/>
        <v>2561.4737708653165</v>
      </c>
      <c r="P111" s="85">
        <f t="shared" si="59"/>
        <v>3.7558266434975316</v>
      </c>
      <c r="Q111" s="85">
        <f t="shared" si="60"/>
        <v>95.3979967448373</v>
      </c>
      <c r="R111" s="84">
        <f t="shared" si="71"/>
        <v>112052.52304818731</v>
      </c>
      <c r="S111" s="86">
        <f t="shared" si="61"/>
        <v>2.5723719708031982</v>
      </c>
      <c r="T111" s="85">
        <f t="shared" si="62"/>
        <v>164.29988716743009</v>
      </c>
      <c r="U111" s="88">
        <f>LOOKUP(N111,'weather data'!$B$7:$B$158,'weather data'!$C$7:$C$158)</f>
        <v>0</v>
      </c>
      <c r="V111" s="88">
        <f t="shared" si="63"/>
        <v>0</v>
      </c>
      <c r="W111" s="88">
        <f t="shared" si="72"/>
        <v>1.6720000000000002</v>
      </c>
      <c r="X111" s="79">
        <f>LOOKUP(N111,'weather data'!$B$7:$B$158,'weather data'!$E$7:$E$158)</f>
        <v>0.2</v>
      </c>
      <c r="Y111" s="6">
        <v>1</v>
      </c>
      <c r="Z111" s="6">
        <v>101</v>
      </c>
      <c r="AA111" s="95">
        <f t="shared" si="85"/>
        <v>133.55371900826447</v>
      </c>
      <c r="AB111" s="94">
        <f ca="1">FORECAST(AA111,OFFSET(Soils!$K$41:$K$57,MATCH(AA111,Soils!$J$41:$J$57,1)-1,0,2),OFFSET(Soils!$J$41:$J$57,MATCH(AA111,Soils!$J$41:$J$57,1)-1,0,2))</f>
        <v>0.50603305785123931</v>
      </c>
      <c r="AC111" s="92">
        <f t="shared" ca="1" si="73"/>
        <v>1</v>
      </c>
      <c r="AD111" s="92">
        <f t="shared" ca="1" si="64"/>
        <v>0.50603305785123931</v>
      </c>
      <c r="AE111" s="87">
        <f t="shared" ca="1" si="65"/>
        <v>0.10120661157024786</v>
      </c>
      <c r="AF111" s="87">
        <f t="shared" ca="1" si="74"/>
        <v>0.10120661157024786</v>
      </c>
      <c r="AG111" s="87">
        <f t="shared" ca="1" si="75"/>
        <v>11.797648185643411</v>
      </c>
      <c r="AH111" s="56">
        <f ca="1">FORECAST(AA111,OFFSET(Soils!$L$41:$L$57,MATCH(AA111,Soils!$J$41:$J$57,1)-1,0,2),OFFSET(Soils!$J$41:$J$57,MATCH(AA111,Soils!$J$41:$J$57,1)-1,0,2))</f>
        <v>0.44918080324778931</v>
      </c>
      <c r="AI111" s="27">
        <v>2</v>
      </c>
      <c r="AJ111" s="54"/>
      <c r="AK111" s="54">
        <f t="shared" si="53"/>
        <v>2.16</v>
      </c>
      <c r="AL111" s="54">
        <f t="shared" si="66"/>
        <v>54.863999999999997</v>
      </c>
      <c r="AM111" s="27">
        <f t="shared" si="76"/>
        <v>0.64800000000000002</v>
      </c>
      <c r="AN111" s="40">
        <f t="shared" si="77"/>
        <v>1.512</v>
      </c>
      <c r="AO111" s="27">
        <f t="shared" ca="1" si="78"/>
        <v>9.5370247933884308E-2</v>
      </c>
      <c r="AP111" s="27">
        <f t="shared" ca="1" si="86"/>
        <v>0</v>
      </c>
      <c r="AQ111" s="27">
        <f t="shared" ca="1" si="79"/>
        <v>2.16</v>
      </c>
      <c r="AR111" s="27">
        <f t="shared" ca="1" si="80"/>
        <v>1</v>
      </c>
      <c r="AS111" s="27">
        <f t="shared" ca="1" si="87"/>
        <v>3.5592497839933994</v>
      </c>
      <c r="AT111" s="28">
        <f t="shared" ca="1" si="81"/>
        <v>154.17423898178671</v>
      </c>
      <c r="AU111" s="27">
        <f t="shared" ca="1" si="67"/>
        <v>3.5592497839933994</v>
      </c>
      <c r="AV111" s="51">
        <f t="shared" ca="1" si="68"/>
        <v>90.404944513432341</v>
      </c>
      <c r="AW111" s="51">
        <f t="shared" ca="1" si="82"/>
        <v>153.63350616489313</v>
      </c>
      <c r="AX111" s="27">
        <f t="shared" ca="1" si="69"/>
        <v>0</v>
      </c>
      <c r="AY111" s="54">
        <f t="shared" ca="1" si="83"/>
        <v>0.54073281689356767</v>
      </c>
      <c r="AZ111" s="91">
        <f t="shared" si="89"/>
        <v>165.97188716743008</v>
      </c>
      <c r="BA111" s="33">
        <f t="shared" ca="1" si="88"/>
        <v>0.19657685950413217</v>
      </c>
      <c r="BB111" s="33">
        <f t="shared" ca="1" si="84"/>
        <v>11.797648185643409</v>
      </c>
    </row>
    <row r="112" spans="2:54" x14ac:dyDescent="0.25">
      <c r="B112" s="18"/>
      <c r="D112" s="154">
        <v>42257</v>
      </c>
      <c r="E112" s="58">
        <v>0</v>
      </c>
      <c r="G112" s="18"/>
      <c r="L112" s="83">
        <f t="shared" si="57"/>
        <v>0</v>
      </c>
      <c r="M112" s="68"/>
      <c r="N112" s="62">
        <v>42257</v>
      </c>
      <c r="O112" s="37">
        <f t="shared" si="58"/>
        <v>0</v>
      </c>
      <c r="P112" s="85">
        <f t="shared" si="59"/>
        <v>0</v>
      </c>
      <c r="Q112" s="85">
        <f t="shared" si="60"/>
        <v>0</v>
      </c>
      <c r="R112" s="84">
        <f t="shared" si="71"/>
        <v>112052.52304818731</v>
      </c>
      <c r="S112" s="86">
        <f t="shared" si="61"/>
        <v>2.5723719708031982</v>
      </c>
      <c r="T112" s="85">
        <f t="shared" si="62"/>
        <v>164.29988716743009</v>
      </c>
      <c r="U112" s="88">
        <f>LOOKUP(N112,'weather data'!$B$7:$B$158,'weather data'!$C$7:$C$158)</f>
        <v>0</v>
      </c>
      <c r="V112" s="88">
        <f t="shared" si="63"/>
        <v>0</v>
      </c>
      <c r="W112" s="88">
        <f t="shared" si="72"/>
        <v>1.6720000000000002</v>
      </c>
      <c r="X112" s="79">
        <f>LOOKUP(N112,'weather data'!$B$7:$B$158,'weather data'!$E$7:$E$158)</f>
        <v>0.2</v>
      </c>
      <c r="Y112" s="6">
        <v>1</v>
      </c>
      <c r="Z112" s="6">
        <v>102</v>
      </c>
      <c r="AA112" s="95">
        <f t="shared" si="85"/>
        <v>134.87603305785123</v>
      </c>
      <c r="AB112" s="94">
        <f ca="1">FORECAST(AA112,OFFSET(Soils!$K$41:$K$57,MATCH(AA112,Soils!$J$41:$J$57,1)-1,0,2),OFFSET(Soils!$J$41:$J$57,MATCH(AA112,Soils!$J$41:$J$57,1)-1,0,2))</f>
        <v>0.48223140495867778</v>
      </c>
      <c r="AC112" s="92">
        <f t="shared" ca="1" si="73"/>
        <v>1</v>
      </c>
      <c r="AD112" s="92">
        <f t="shared" ca="1" si="64"/>
        <v>0.48223140495867778</v>
      </c>
      <c r="AE112" s="87">
        <f t="shared" ca="1" si="65"/>
        <v>9.6446280991735564E-2</v>
      </c>
      <c r="AF112" s="87">
        <f t="shared" ca="1" si="74"/>
        <v>9.6446280991735564E-2</v>
      </c>
      <c r="AG112" s="87">
        <f t="shared" ca="1" si="75"/>
        <v>11.894094466635146</v>
      </c>
      <c r="AH112" s="56">
        <f ca="1">FORECAST(AA112,OFFSET(Soils!$L$41:$L$57,MATCH(AA112,Soils!$J$41:$J$57,1)-1,0,2),OFFSET(Soils!$J$41:$J$57,MATCH(AA112,Soils!$J$41:$J$57,1)-1,0,2))</f>
        <v>0.40742351747136496</v>
      </c>
      <c r="AI112" s="27">
        <v>2</v>
      </c>
      <c r="AJ112" s="54"/>
      <c r="AK112" s="54">
        <f t="shared" si="53"/>
        <v>2.16</v>
      </c>
      <c r="AL112" s="54">
        <f t="shared" si="66"/>
        <v>54.863999999999997</v>
      </c>
      <c r="AM112" s="27">
        <f t="shared" si="76"/>
        <v>0.64800000000000002</v>
      </c>
      <c r="AN112" s="40">
        <f t="shared" si="77"/>
        <v>1.512</v>
      </c>
      <c r="AO112" s="27">
        <f t="shared" ca="1" si="78"/>
        <v>0</v>
      </c>
      <c r="AP112" s="27">
        <f t="shared" ca="1" si="86"/>
        <v>9.6446280991735564E-2</v>
      </c>
      <c r="AQ112" s="27">
        <f t="shared" ca="1" si="79"/>
        <v>2.0635537190082647</v>
      </c>
      <c r="AR112" s="27">
        <f t="shared" ca="1" si="80"/>
        <v>1</v>
      </c>
      <c r="AS112" s="27">
        <f t="shared" ca="1" si="87"/>
        <v>0</v>
      </c>
      <c r="AT112" s="28">
        <f t="shared" ca="1" si="81"/>
        <v>154.17423898178671</v>
      </c>
      <c r="AU112" s="27">
        <f t="shared" ca="1" si="67"/>
        <v>0</v>
      </c>
      <c r="AV112" s="51">
        <f t="shared" ca="1" si="68"/>
        <v>0</v>
      </c>
      <c r="AW112" s="51">
        <f t="shared" ca="1" si="82"/>
        <v>153.63350616489313</v>
      </c>
      <c r="AX112" s="27">
        <f t="shared" ca="1" si="69"/>
        <v>0</v>
      </c>
      <c r="AY112" s="54">
        <f t="shared" ca="1" si="83"/>
        <v>0.54073281689356767</v>
      </c>
      <c r="AZ112" s="91">
        <f t="shared" si="89"/>
        <v>165.97188716743008</v>
      </c>
      <c r="BA112" s="33">
        <f t="shared" ca="1" si="88"/>
        <v>0</v>
      </c>
      <c r="BB112" s="33">
        <f t="shared" ca="1" si="84"/>
        <v>11.797648185643409</v>
      </c>
    </row>
    <row r="113" spans="2:54" x14ac:dyDescent="0.25">
      <c r="B113" s="18"/>
      <c r="D113" s="154">
        <v>42258</v>
      </c>
      <c r="E113" s="58">
        <f>B43</f>
        <v>2561.473770865317</v>
      </c>
      <c r="G113" s="18"/>
      <c r="L113" s="83">
        <f t="shared" si="57"/>
        <v>2561.473770865317</v>
      </c>
      <c r="M113" s="68"/>
      <c r="N113" s="62">
        <v>42258</v>
      </c>
      <c r="O113" s="37">
        <f t="shared" si="58"/>
        <v>2561.473770865317</v>
      </c>
      <c r="P113" s="85">
        <f t="shared" si="59"/>
        <v>3.7558266434975325</v>
      </c>
      <c r="Q113" s="85">
        <f t="shared" si="60"/>
        <v>95.397996744837315</v>
      </c>
      <c r="R113" s="84">
        <f t="shared" si="71"/>
        <v>114613.99681905263</v>
      </c>
      <c r="S113" s="86">
        <f t="shared" si="61"/>
        <v>2.6311753172417958</v>
      </c>
      <c r="T113" s="85">
        <f t="shared" si="62"/>
        <v>168.05571381092761</v>
      </c>
      <c r="U113" s="88">
        <f>LOOKUP(N113,'weather data'!$B$7:$B$158,'weather data'!$C$7:$C$158)</f>
        <v>0</v>
      </c>
      <c r="V113" s="88">
        <f t="shared" si="63"/>
        <v>0</v>
      </c>
      <c r="W113" s="88">
        <f t="shared" si="72"/>
        <v>1.6720000000000002</v>
      </c>
      <c r="X113" s="79">
        <f>LOOKUP(N113,'weather data'!$B$7:$B$158,'weather data'!$E$7:$E$158)</f>
        <v>0.19</v>
      </c>
      <c r="Y113" s="6">
        <v>1</v>
      </c>
      <c r="Z113" s="6">
        <v>103</v>
      </c>
      <c r="AA113" s="95">
        <f t="shared" si="85"/>
        <v>136.19834710743802</v>
      </c>
      <c r="AB113" s="94">
        <f ca="1">FORECAST(AA113,OFFSET(Soils!$K$41:$K$57,MATCH(AA113,Soils!$J$41:$J$57,1)-1,0,2),OFFSET(Soils!$J$41:$J$57,MATCH(AA113,Soils!$J$41:$J$57,1)-1,0,2))</f>
        <v>0.45842975206611536</v>
      </c>
      <c r="AC113" s="92">
        <f t="shared" ca="1" si="73"/>
        <v>1</v>
      </c>
      <c r="AD113" s="92">
        <f t="shared" ca="1" si="64"/>
        <v>0.45842975206611536</v>
      </c>
      <c r="AE113" s="87">
        <f t="shared" ca="1" si="65"/>
        <v>8.7101652892561915E-2</v>
      </c>
      <c r="AF113" s="87">
        <f t="shared" ca="1" si="74"/>
        <v>8.7101652892561915E-2</v>
      </c>
      <c r="AG113" s="87">
        <f t="shared" ca="1" si="75"/>
        <v>11.981196119527707</v>
      </c>
      <c r="AH113" s="56">
        <f ca="1">FORECAST(AA113,OFFSET(Soils!$L$41:$L$57,MATCH(AA113,Soils!$J$41:$J$57,1)-1,0,2),OFFSET(Soils!$J$41:$J$57,MATCH(AA113,Soils!$J$41:$J$57,1)-1,0,2))</f>
        <v>0.36566623169493973</v>
      </c>
      <c r="AI113" s="27">
        <v>2</v>
      </c>
      <c r="AJ113" s="54"/>
      <c r="AK113" s="54">
        <f t="shared" si="53"/>
        <v>2.16</v>
      </c>
      <c r="AL113" s="54">
        <f t="shared" si="66"/>
        <v>54.863999999999997</v>
      </c>
      <c r="AM113" s="27">
        <f t="shared" si="76"/>
        <v>0.64800000000000002</v>
      </c>
      <c r="AN113" s="40">
        <f t="shared" si="77"/>
        <v>1.512</v>
      </c>
      <c r="AO113" s="27">
        <f t="shared" ca="1" si="78"/>
        <v>9.6446280991735564E-2</v>
      </c>
      <c r="AP113" s="27">
        <f t="shared" ca="1" si="86"/>
        <v>0</v>
      </c>
      <c r="AQ113" s="27">
        <f t="shared" ca="1" si="79"/>
        <v>2.16</v>
      </c>
      <c r="AR113" s="27">
        <f t="shared" ca="1" si="80"/>
        <v>1</v>
      </c>
      <c r="AS113" s="27">
        <f t="shared" ca="1" si="87"/>
        <v>3.5722787096132351</v>
      </c>
      <c r="AT113" s="28">
        <f t="shared" ca="1" si="81"/>
        <v>157.74651769139996</v>
      </c>
      <c r="AU113" s="27">
        <f t="shared" ca="1" si="67"/>
        <v>3.5722787096132351</v>
      </c>
      <c r="AV113" s="51">
        <f t="shared" ca="1" si="68"/>
        <v>90.735879224176173</v>
      </c>
      <c r="AW113" s="51">
        <f t="shared" ca="1" si="82"/>
        <v>157.20578487450638</v>
      </c>
      <c r="AX113" s="27">
        <f t="shared" ca="1" si="69"/>
        <v>0</v>
      </c>
      <c r="AY113" s="54">
        <f t="shared" ca="1" si="83"/>
        <v>0.54073281689356767</v>
      </c>
      <c r="AZ113" s="91">
        <f t="shared" si="89"/>
        <v>169.72771381092761</v>
      </c>
      <c r="BA113" s="33">
        <f t="shared" ca="1" si="88"/>
        <v>0.18354793388429735</v>
      </c>
      <c r="BB113" s="33">
        <f t="shared" ca="1" si="84"/>
        <v>11.981196119527706</v>
      </c>
    </row>
    <row r="114" spans="2:54" x14ac:dyDescent="0.25">
      <c r="B114" s="18"/>
      <c r="D114" s="154">
        <v>42259</v>
      </c>
      <c r="E114" s="58">
        <v>0</v>
      </c>
      <c r="G114" s="18"/>
      <c r="L114" s="83">
        <f t="shared" si="57"/>
        <v>0</v>
      </c>
      <c r="M114" s="68"/>
      <c r="N114" s="62">
        <v>42259</v>
      </c>
      <c r="O114" s="37">
        <f t="shared" si="58"/>
        <v>0</v>
      </c>
      <c r="P114" s="85">
        <f t="shared" si="59"/>
        <v>0</v>
      </c>
      <c r="Q114" s="85">
        <f t="shared" si="60"/>
        <v>0</v>
      </c>
      <c r="R114" s="84">
        <f t="shared" si="71"/>
        <v>114613.99681905263</v>
      </c>
      <c r="S114" s="86">
        <f t="shared" si="61"/>
        <v>2.6311753172417958</v>
      </c>
      <c r="T114" s="85">
        <f t="shared" si="62"/>
        <v>168.05571381092761</v>
      </c>
      <c r="U114" s="88">
        <f>LOOKUP(N114,'weather data'!$B$7:$B$158,'weather data'!$C$7:$C$158)</f>
        <v>0</v>
      </c>
      <c r="V114" s="88">
        <f t="shared" si="63"/>
        <v>0</v>
      </c>
      <c r="W114" s="88">
        <f t="shared" si="72"/>
        <v>1.6720000000000002</v>
      </c>
      <c r="X114" s="79">
        <f>LOOKUP(N114,'weather data'!$B$7:$B$158,'weather data'!$E$7:$E$158)</f>
        <v>0.19</v>
      </c>
      <c r="Y114" s="6">
        <v>1</v>
      </c>
      <c r="Z114" s="6">
        <v>104</v>
      </c>
      <c r="AA114" s="95">
        <f t="shared" si="85"/>
        <v>137.52066115702479</v>
      </c>
      <c r="AB114" s="94">
        <f ca="1">FORECAST(AA114,OFFSET(Soils!$K$41:$K$57,MATCH(AA114,Soils!$J$41:$J$57,1)-1,0,2),OFFSET(Soils!$J$41:$J$57,MATCH(AA114,Soils!$J$41:$J$57,1)-1,0,2))</f>
        <v>0.43462809917355383</v>
      </c>
      <c r="AC114" s="92">
        <f t="shared" ca="1" si="73"/>
        <v>1</v>
      </c>
      <c r="AD114" s="92">
        <f t="shared" ca="1" si="64"/>
        <v>0.43462809917355383</v>
      </c>
      <c r="AE114" s="87">
        <f t="shared" ca="1" si="65"/>
        <v>8.2579338842975233E-2</v>
      </c>
      <c r="AF114" s="87">
        <f t="shared" ca="1" si="74"/>
        <v>8.2579338842975233E-2</v>
      </c>
      <c r="AG114" s="87">
        <f t="shared" ca="1" si="75"/>
        <v>12.063775458370683</v>
      </c>
      <c r="AH114" s="56">
        <f ca="1">FORECAST(AA114,OFFSET(Soils!$L$41:$L$57,MATCH(AA114,Soils!$J$41:$J$57,1)-1,0,2),OFFSET(Soils!$J$41:$J$57,MATCH(AA114,Soils!$J$41:$J$57,1)-1,0,2))</f>
        <v>0.32390894591851538</v>
      </c>
      <c r="AI114" s="27">
        <v>2</v>
      </c>
      <c r="AJ114" s="54"/>
      <c r="AK114" s="54">
        <f t="shared" si="53"/>
        <v>2.16</v>
      </c>
      <c r="AL114" s="54">
        <f t="shared" si="66"/>
        <v>54.863999999999997</v>
      </c>
      <c r="AM114" s="27">
        <f t="shared" si="76"/>
        <v>0.64800000000000002</v>
      </c>
      <c r="AN114" s="40">
        <f t="shared" si="77"/>
        <v>1.512</v>
      </c>
      <c r="AO114" s="27">
        <f t="shared" ca="1" si="78"/>
        <v>0</v>
      </c>
      <c r="AP114" s="27">
        <f t="shared" ca="1" si="86"/>
        <v>8.2579338842975233E-2</v>
      </c>
      <c r="AQ114" s="27">
        <f t="shared" ca="1" si="79"/>
        <v>2.0774206611570247</v>
      </c>
      <c r="AR114" s="27">
        <f t="shared" ca="1" si="80"/>
        <v>1</v>
      </c>
      <c r="AS114" s="27">
        <f t="shared" ca="1" si="87"/>
        <v>0</v>
      </c>
      <c r="AT114" s="28">
        <f t="shared" ca="1" si="81"/>
        <v>157.74651769139996</v>
      </c>
      <c r="AU114" s="27">
        <f t="shared" ca="1" si="67"/>
        <v>0</v>
      </c>
      <c r="AV114" s="51">
        <f t="shared" ca="1" si="68"/>
        <v>0</v>
      </c>
      <c r="AW114" s="51">
        <f t="shared" ca="1" si="82"/>
        <v>157.20578487450638</v>
      </c>
      <c r="AX114" s="27">
        <f t="shared" ca="1" si="69"/>
        <v>0</v>
      </c>
      <c r="AY114" s="54">
        <f t="shared" ca="1" si="83"/>
        <v>0.54073281689356767</v>
      </c>
      <c r="AZ114" s="91">
        <f t="shared" si="89"/>
        <v>169.72771381092761</v>
      </c>
      <c r="BA114" s="33">
        <f t="shared" ca="1" si="88"/>
        <v>0</v>
      </c>
      <c r="BB114" s="33">
        <f t="shared" ca="1" si="84"/>
        <v>11.981196119527706</v>
      </c>
    </row>
    <row r="115" spans="2:54" x14ac:dyDescent="0.25">
      <c r="B115" s="18"/>
      <c r="D115" s="154">
        <v>42260</v>
      </c>
      <c r="E115" s="58">
        <v>0</v>
      </c>
      <c r="G115" s="18"/>
      <c r="L115" s="83">
        <f t="shared" si="57"/>
        <v>0</v>
      </c>
      <c r="M115" s="68"/>
      <c r="N115" s="62">
        <v>42260</v>
      </c>
      <c r="O115" s="37">
        <f t="shared" si="58"/>
        <v>0</v>
      </c>
      <c r="P115" s="85">
        <f t="shared" si="59"/>
        <v>0</v>
      </c>
      <c r="Q115" s="85">
        <f t="shared" si="60"/>
        <v>0</v>
      </c>
      <c r="R115" s="84">
        <f t="shared" si="71"/>
        <v>114613.99681905263</v>
      </c>
      <c r="S115" s="86">
        <f t="shared" si="61"/>
        <v>2.6311753172417958</v>
      </c>
      <c r="T115" s="85">
        <f t="shared" si="62"/>
        <v>168.05571381092761</v>
      </c>
      <c r="U115" s="88">
        <f>LOOKUP(N115,'weather data'!$B$7:$B$158,'weather data'!$C$7:$C$158)</f>
        <v>0</v>
      </c>
      <c r="V115" s="88">
        <f t="shared" si="63"/>
        <v>0</v>
      </c>
      <c r="W115" s="88">
        <f t="shared" si="72"/>
        <v>1.6720000000000002</v>
      </c>
      <c r="X115" s="79">
        <f>LOOKUP(N115,'weather data'!$B$7:$B$158,'weather data'!$E$7:$E$158)</f>
        <v>0.16</v>
      </c>
      <c r="Y115" s="6">
        <v>1</v>
      </c>
      <c r="Z115" s="6">
        <v>105</v>
      </c>
      <c r="AA115" s="95">
        <f t="shared" si="85"/>
        <v>138.84297520661158</v>
      </c>
      <c r="AB115" s="94">
        <f ca="1">FORECAST(AA115,OFFSET(Soils!$K$41:$K$57,MATCH(AA115,Soils!$J$41:$J$57,1)-1,0,2),OFFSET(Soils!$J$41:$J$57,MATCH(AA115,Soils!$J$41:$J$57,1)-1,0,2))</f>
        <v>0.41082644628099141</v>
      </c>
      <c r="AC115" s="92">
        <f t="shared" ca="1" si="73"/>
        <v>1</v>
      </c>
      <c r="AD115" s="92">
        <f t="shared" ca="1" si="64"/>
        <v>0.41082644628099141</v>
      </c>
      <c r="AE115" s="87">
        <f t="shared" ca="1" si="65"/>
        <v>6.5732231404958624E-2</v>
      </c>
      <c r="AF115" s="87">
        <f t="shared" ca="1" si="74"/>
        <v>6.5732231404958624E-2</v>
      </c>
      <c r="AG115" s="87">
        <f t="shared" ca="1" si="75"/>
        <v>12.129507689775641</v>
      </c>
      <c r="AH115" s="56">
        <f ca="1">FORECAST(AA115,OFFSET(Soils!$L$41:$L$57,MATCH(AA115,Soils!$J$41:$J$57,1)-1,0,2),OFFSET(Soils!$J$41:$J$57,MATCH(AA115,Soils!$J$41:$J$57,1)-1,0,2))</f>
        <v>0.28215166014209014</v>
      </c>
      <c r="AI115" s="27">
        <v>2</v>
      </c>
      <c r="AJ115" s="54"/>
      <c r="AK115" s="54">
        <f t="shared" si="53"/>
        <v>2.16</v>
      </c>
      <c r="AL115" s="54">
        <f t="shared" si="66"/>
        <v>54.863999999999997</v>
      </c>
      <c r="AM115" s="27">
        <f t="shared" si="76"/>
        <v>0.64800000000000002</v>
      </c>
      <c r="AN115" s="40">
        <f t="shared" si="77"/>
        <v>1.512</v>
      </c>
      <c r="AO115" s="27">
        <f t="shared" ca="1" si="78"/>
        <v>8.2579338842975233E-2</v>
      </c>
      <c r="AP115" s="27">
        <f t="shared" ca="1" si="86"/>
        <v>0.14831157024793384</v>
      </c>
      <c r="AQ115" s="27">
        <f t="shared" ca="1" si="79"/>
        <v>2.0116884297520663</v>
      </c>
      <c r="AR115" s="27">
        <f t="shared" ca="1" si="80"/>
        <v>1</v>
      </c>
      <c r="AS115" s="27">
        <f t="shared" ca="1" si="87"/>
        <v>0</v>
      </c>
      <c r="AT115" s="28">
        <f t="shared" ca="1" si="81"/>
        <v>157.74651769139996</v>
      </c>
      <c r="AU115" s="27">
        <f t="shared" ca="1" si="67"/>
        <v>0</v>
      </c>
      <c r="AV115" s="51">
        <f t="shared" ca="1" si="68"/>
        <v>0</v>
      </c>
      <c r="AW115" s="51">
        <f t="shared" ca="1" si="82"/>
        <v>157.20578487450638</v>
      </c>
      <c r="AX115" s="27">
        <f t="shared" ca="1" si="69"/>
        <v>0</v>
      </c>
      <c r="AY115" s="54">
        <f t="shared" ca="1" si="83"/>
        <v>0.54073281689356767</v>
      </c>
      <c r="AZ115" s="91">
        <f t="shared" si="89"/>
        <v>169.72771381092761</v>
      </c>
      <c r="BA115" s="33">
        <f t="shared" ca="1" si="88"/>
        <v>0</v>
      </c>
      <c r="BB115" s="33">
        <f t="shared" ca="1" si="84"/>
        <v>11.981196119527706</v>
      </c>
    </row>
    <row r="116" spans="2:54" x14ac:dyDescent="0.25">
      <c r="B116" s="18"/>
      <c r="D116" s="154">
        <v>42261</v>
      </c>
      <c r="E116" s="58">
        <f>B44</f>
        <v>3658.7477915531244</v>
      </c>
      <c r="G116" s="18"/>
      <c r="L116" s="83">
        <f t="shared" si="57"/>
        <v>3658.7477915531244</v>
      </c>
      <c r="M116" s="68"/>
      <c r="N116" s="62">
        <v>42261</v>
      </c>
      <c r="O116" s="37">
        <f t="shared" si="58"/>
        <v>3658.7477915531244</v>
      </c>
      <c r="P116" s="85">
        <f t="shared" si="59"/>
        <v>5.3647328321893317</v>
      </c>
      <c r="Q116" s="85">
        <f t="shared" si="60"/>
        <v>136.26421393760901</v>
      </c>
      <c r="R116" s="84">
        <f t="shared" si="71"/>
        <v>118272.74461060575</v>
      </c>
      <c r="S116" s="86">
        <f t="shared" si="61"/>
        <v>2.7151686090589013</v>
      </c>
      <c r="T116" s="85">
        <f t="shared" si="62"/>
        <v>173.42044664311695</v>
      </c>
      <c r="U116" s="88">
        <f>LOOKUP(N116,'weather data'!$B$7:$B$158,'weather data'!$C$7:$C$158)</f>
        <v>0.15</v>
      </c>
      <c r="V116" s="88">
        <f t="shared" si="63"/>
        <v>0.12</v>
      </c>
      <c r="W116" s="88">
        <f t="shared" si="72"/>
        <v>1.7920000000000003</v>
      </c>
      <c r="X116" s="79">
        <f>LOOKUP(N116,'weather data'!$B$7:$B$158,'weather data'!$E$7:$E$158)</f>
        <v>0.13</v>
      </c>
      <c r="Y116" s="6">
        <v>1</v>
      </c>
      <c r="Z116" s="6">
        <v>106</v>
      </c>
      <c r="AA116" s="95">
        <f t="shared" si="85"/>
        <v>140.16528925619835</v>
      </c>
      <c r="AB116" s="94">
        <f ca="1">FORECAST(AA116,OFFSET(Soils!$K$41:$K$57,MATCH(AA116,Soils!$J$41:$J$57,1)-1,0,2),OFFSET(Soils!$J$41:$J$57,MATCH(AA116,Soils!$J$41:$J$57,1)-1,0,2))</f>
        <v>0.38752066115702455</v>
      </c>
      <c r="AC116" s="92">
        <f t="shared" ca="1" si="73"/>
        <v>1</v>
      </c>
      <c r="AD116" s="92">
        <f t="shared" ca="1" si="64"/>
        <v>0.38752066115702455</v>
      </c>
      <c r="AE116" s="87">
        <f t="shared" ca="1" si="65"/>
        <v>5.0377685950413191E-2</v>
      </c>
      <c r="AF116" s="87">
        <f t="shared" ca="1" si="74"/>
        <v>5.0377685950413191E-2</v>
      </c>
      <c r="AG116" s="87">
        <f t="shared" ca="1" si="75"/>
        <v>12.179885375726055</v>
      </c>
      <c r="AH116" s="56">
        <f ca="1">FORECAST(AA116,OFFSET(Soils!$L$41:$L$57,MATCH(AA116,Soils!$J$41:$J$57,1)-1,0,2),OFFSET(Soils!$J$41:$J$57,MATCH(AA116,Soils!$J$41:$J$57,1)-1,0,2))</f>
        <v>0.24126431781934166</v>
      </c>
      <c r="AI116" s="27">
        <v>2</v>
      </c>
      <c r="AJ116" s="54"/>
      <c r="AK116" s="54">
        <f t="shared" si="53"/>
        <v>2.16</v>
      </c>
      <c r="AL116" s="54">
        <f t="shared" si="66"/>
        <v>54.863999999999997</v>
      </c>
      <c r="AM116" s="27">
        <f t="shared" si="76"/>
        <v>0.64800000000000002</v>
      </c>
      <c r="AN116" s="40">
        <f t="shared" si="77"/>
        <v>1.512</v>
      </c>
      <c r="AO116" s="27">
        <f t="shared" ca="1" si="78"/>
        <v>0.14831157024793384</v>
      </c>
      <c r="AP116" s="27">
        <f t="shared" ca="1" si="86"/>
        <v>0</v>
      </c>
      <c r="AQ116" s="27">
        <f t="shared" ca="1" si="79"/>
        <v>2.16</v>
      </c>
      <c r="AR116" s="27">
        <f t="shared" ca="1" si="80"/>
        <v>1</v>
      </c>
      <c r="AS116" s="27">
        <f t="shared" ca="1" si="87"/>
        <v>5.286043575990985</v>
      </c>
      <c r="AT116" s="28">
        <f t="shared" ca="1" si="81"/>
        <v>163.03256126739095</v>
      </c>
      <c r="AU116" s="27">
        <f t="shared" ca="1" si="67"/>
        <v>5.1703906812143918</v>
      </c>
      <c r="AV116" s="51">
        <f t="shared" ca="1" si="68"/>
        <v>131.32792330284553</v>
      </c>
      <c r="AW116" s="51">
        <f t="shared" ca="1" si="82"/>
        <v>162.37617555572078</v>
      </c>
      <c r="AX116" s="27">
        <f t="shared" ca="1" si="69"/>
        <v>0.11565289477659309</v>
      </c>
      <c r="AY116" s="54">
        <f t="shared" ca="1" si="83"/>
        <v>0.6563857116701608</v>
      </c>
      <c r="AZ116" s="91">
        <f t="shared" si="89"/>
        <v>175.21244664311695</v>
      </c>
      <c r="BA116" s="33">
        <f t="shared" ca="1" si="88"/>
        <v>0.19868925619834688</v>
      </c>
      <c r="BB116" s="33">
        <f t="shared" ca="1" si="84"/>
        <v>12.179885375726052</v>
      </c>
    </row>
    <row r="117" spans="2:54" x14ac:dyDescent="0.25">
      <c r="B117" s="18"/>
      <c r="D117" s="154">
        <v>42262</v>
      </c>
      <c r="E117" s="58">
        <v>0</v>
      </c>
      <c r="G117" s="18"/>
      <c r="L117" s="83">
        <f t="shared" si="57"/>
        <v>0</v>
      </c>
      <c r="M117" s="68"/>
      <c r="N117" s="62">
        <v>42262</v>
      </c>
      <c r="O117" s="37">
        <f t="shared" si="58"/>
        <v>0</v>
      </c>
      <c r="P117" s="85">
        <f t="shared" si="59"/>
        <v>0</v>
      </c>
      <c r="Q117" s="85">
        <f t="shared" si="60"/>
        <v>0</v>
      </c>
      <c r="R117" s="84">
        <f t="shared" si="71"/>
        <v>118272.74461060575</v>
      </c>
      <c r="S117" s="86">
        <f t="shared" si="61"/>
        <v>2.7151686090589013</v>
      </c>
      <c r="T117" s="85">
        <f t="shared" si="62"/>
        <v>173.42044664311695</v>
      </c>
      <c r="U117" s="88">
        <f>LOOKUP(N117,'weather data'!$B$7:$B$158,'weather data'!$C$7:$C$158)</f>
        <v>0.09</v>
      </c>
      <c r="V117" s="88">
        <f t="shared" si="63"/>
        <v>7.1999999999999995E-2</v>
      </c>
      <c r="W117" s="88">
        <f t="shared" si="72"/>
        <v>1.8640000000000003</v>
      </c>
      <c r="X117" s="79">
        <f>LOOKUP(N117,'weather data'!$B$7:$B$158,'weather data'!$E$7:$E$158)</f>
        <v>0.09</v>
      </c>
      <c r="Y117" s="6">
        <v>1</v>
      </c>
      <c r="Z117" s="6">
        <v>107</v>
      </c>
      <c r="AA117" s="95">
        <f t="shared" si="85"/>
        <v>141.48760330578511</v>
      </c>
      <c r="AB117" s="94">
        <f ca="1">FORECAST(AA117,OFFSET(Soils!$K$41:$K$57,MATCH(AA117,Soils!$J$41:$J$57,1)-1,0,2),OFFSET(Soils!$J$41:$J$57,MATCH(AA117,Soils!$J$41:$J$57,1)-1,0,2))</f>
        <v>0.36768595041322305</v>
      </c>
      <c r="AC117" s="92">
        <f t="shared" ca="1" si="73"/>
        <v>1</v>
      </c>
      <c r="AD117" s="92">
        <f t="shared" ca="1" si="64"/>
        <v>0.36768595041322305</v>
      </c>
      <c r="AE117" s="87">
        <f t="shared" ca="1" si="65"/>
        <v>3.3091735537190074E-2</v>
      </c>
      <c r="AF117" s="87">
        <f t="shared" ca="1" si="74"/>
        <v>3.3091735537190074E-2</v>
      </c>
      <c r="AG117" s="87">
        <f t="shared" ca="1" si="75"/>
        <v>12.212977111263246</v>
      </c>
      <c r="AH117" s="56">
        <f ca="1">FORECAST(AA117,OFFSET(Soils!$L$41:$L$57,MATCH(AA117,Soils!$J$41:$J$57,1)-1,0,2),OFFSET(Soils!$J$41:$J$57,MATCH(AA117,Soils!$J$41:$J$57,1)-1,0,2))</f>
        <v>0.20646657967232152</v>
      </c>
      <c r="AI117" s="27">
        <v>2</v>
      </c>
      <c r="AJ117" s="54"/>
      <c r="AK117" s="54">
        <f t="shared" si="53"/>
        <v>2.16</v>
      </c>
      <c r="AL117" s="54">
        <f t="shared" si="66"/>
        <v>54.863999999999997</v>
      </c>
      <c r="AM117" s="27">
        <f t="shared" si="76"/>
        <v>0.64800000000000002</v>
      </c>
      <c r="AN117" s="40">
        <f t="shared" si="77"/>
        <v>1.512</v>
      </c>
      <c r="AO117" s="27">
        <f t="shared" ca="1" si="78"/>
        <v>0</v>
      </c>
      <c r="AP117" s="27">
        <f t="shared" ca="1" si="86"/>
        <v>0</v>
      </c>
      <c r="AQ117" s="27">
        <f t="shared" ca="1" si="79"/>
        <v>2.16</v>
      </c>
      <c r="AR117" s="27">
        <f t="shared" ca="1" si="80"/>
        <v>1</v>
      </c>
      <c r="AS117" s="27">
        <f t="shared" ca="1" si="87"/>
        <v>3.890826446280992E-2</v>
      </c>
      <c r="AT117" s="28">
        <f t="shared" ca="1" si="81"/>
        <v>163.07146953185375</v>
      </c>
      <c r="AU117" s="27">
        <f t="shared" ca="1" si="67"/>
        <v>0</v>
      </c>
      <c r="AV117" s="51">
        <f t="shared" ca="1" si="68"/>
        <v>0</v>
      </c>
      <c r="AW117" s="51">
        <f t="shared" ca="1" si="82"/>
        <v>162.37617555572078</v>
      </c>
      <c r="AX117" s="27">
        <f t="shared" ca="1" si="69"/>
        <v>3.890826446280992E-2</v>
      </c>
      <c r="AY117" s="54">
        <f t="shared" ca="1" si="83"/>
        <v>0.69529397613297073</v>
      </c>
      <c r="AZ117" s="91">
        <f t="shared" si="89"/>
        <v>175.28444664311695</v>
      </c>
      <c r="BA117" s="33">
        <f t="shared" ca="1" si="88"/>
        <v>3.3091735537190074E-2</v>
      </c>
      <c r="BB117" s="33">
        <f t="shared" ca="1" si="84"/>
        <v>12.212977111263243</v>
      </c>
    </row>
    <row r="118" spans="2:54" x14ac:dyDescent="0.25">
      <c r="B118" s="18"/>
      <c r="D118" s="154">
        <v>42263</v>
      </c>
      <c r="E118" s="58">
        <v>0</v>
      </c>
      <c r="G118" s="18"/>
      <c r="L118" s="83">
        <f t="shared" si="57"/>
        <v>0</v>
      </c>
      <c r="M118" s="68"/>
      <c r="N118" s="62">
        <v>42263</v>
      </c>
      <c r="O118" s="37">
        <f t="shared" si="58"/>
        <v>0</v>
      </c>
      <c r="P118" s="85">
        <f t="shared" si="59"/>
        <v>0</v>
      </c>
      <c r="Q118" s="85">
        <f t="shared" si="60"/>
        <v>0</v>
      </c>
      <c r="R118" s="84">
        <f t="shared" si="71"/>
        <v>118272.74461060575</v>
      </c>
      <c r="S118" s="86">
        <f t="shared" si="61"/>
        <v>2.7151686090589013</v>
      </c>
      <c r="T118" s="85">
        <f t="shared" si="62"/>
        <v>173.42044664311695</v>
      </c>
      <c r="U118" s="88">
        <f>LOOKUP(N118,'weather data'!$B$7:$B$158,'weather data'!$C$7:$C$158)</f>
        <v>0.98</v>
      </c>
      <c r="V118" s="88">
        <f t="shared" si="63"/>
        <v>0.78400000000000003</v>
      </c>
      <c r="W118" s="88">
        <f t="shared" si="72"/>
        <v>2.6480000000000006</v>
      </c>
      <c r="X118" s="79">
        <f>LOOKUP(N118,'weather data'!$B$7:$B$158,'weather data'!$E$7:$E$158)</f>
        <v>0.04</v>
      </c>
      <c r="Y118" s="6">
        <v>1</v>
      </c>
      <c r="Z118" s="6">
        <v>108</v>
      </c>
      <c r="AA118" s="95">
        <f t="shared" si="85"/>
        <v>142.80991735537191</v>
      </c>
      <c r="AB118" s="94">
        <f ca="1">FORECAST(AA118,OFFSET(Soils!$K$41:$K$57,MATCH(AA118,Soils!$J$41:$J$57,1)-1,0,2),OFFSET(Soils!$J$41:$J$57,MATCH(AA118,Soils!$J$41:$J$57,1)-1,0,2))</f>
        <v>0.34785123966942111</v>
      </c>
      <c r="AC118" s="92">
        <f t="shared" ca="1" si="73"/>
        <v>1</v>
      </c>
      <c r="AD118" s="92">
        <f t="shared" ca="1" si="64"/>
        <v>0.34785123966942111</v>
      </c>
      <c r="AE118" s="87">
        <f t="shared" ca="1" si="65"/>
        <v>1.3914049586776845E-2</v>
      </c>
      <c r="AF118" s="87">
        <f t="shared" ca="1" si="74"/>
        <v>1.3914049586776845E-2</v>
      </c>
      <c r="AG118" s="87">
        <f t="shared" ca="1" si="75"/>
        <v>12.226891160850023</v>
      </c>
      <c r="AH118" s="56">
        <f ca="1">FORECAST(AA118,OFFSET(Soils!$L$41:$L$57,MATCH(AA118,Soils!$J$41:$J$57,1)-1,0,2),OFFSET(Soils!$J$41:$J$57,MATCH(AA118,Soils!$J$41:$J$57,1)-1,0,2))</f>
        <v>0.17166884152530049</v>
      </c>
      <c r="AI118" s="27">
        <v>2</v>
      </c>
      <c r="AJ118" s="54"/>
      <c r="AK118" s="54">
        <f t="shared" si="53"/>
        <v>2.16</v>
      </c>
      <c r="AL118" s="54">
        <f t="shared" si="66"/>
        <v>54.863999999999997</v>
      </c>
      <c r="AM118" s="27">
        <f t="shared" si="76"/>
        <v>0.64800000000000002</v>
      </c>
      <c r="AN118" s="40">
        <f t="shared" si="77"/>
        <v>1.512</v>
      </c>
      <c r="AO118" s="27">
        <f t="shared" ca="1" si="78"/>
        <v>0</v>
      </c>
      <c r="AP118" s="27">
        <f t="shared" ca="1" si="86"/>
        <v>0</v>
      </c>
      <c r="AQ118" s="27">
        <f t="shared" ca="1" si="79"/>
        <v>2.16</v>
      </c>
      <c r="AR118" s="27">
        <f t="shared" ca="1" si="80"/>
        <v>1</v>
      </c>
      <c r="AS118" s="27">
        <f t="shared" ca="1" si="87"/>
        <v>0.77008595041322314</v>
      </c>
      <c r="AT118" s="28">
        <f t="shared" ca="1" si="81"/>
        <v>163.84155548226698</v>
      </c>
      <c r="AU118" s="27">
        <f t="shared" ca="1" si="67"/>
        <v>0</v>
      </c>
      <c r="AV118" s="51">
        <f t="shared" ca="1" si="68"/>
        <v>0</v>
      </c>
      <c r="AW118" s="51">
        <f t="shared" ca="1" si="82"/>
        <v>162.37617555572078</v>
      </c>
      <c r="AX118" s="27">
        <f t="shared" ca="1" si="69"/>
        <v>0.77008595041322314</v>
      </c>
      <c r="AY118" s="54">
        <f t="shared" ca="1" si="83"/>
        <v>1.465379926546194</v>
      </c>
      <c r="AZ118" s="91">
        <f t="shared" si="89"/>
        <v>176.06844664311694</v>
      </c>
      <c r="BA118" s="33">
        <f t="shared" ca="1" si="88"/>
        <v>1.3914049586776889E-2</v>
      </c>
      <c r="BB118" s="33">
        <f t="shared" ca="1" si="84"/>
        <v>12.22689116085002</v>
      </c>
    </row>
    <row r="119" spans="2:54" x14ac:dyDescent="0.25">
      <c r="B119" s="18"/>
      <c r="D119" s="154">
        <v>42264</v>
      </c>
      <c r="E119" s="58">
        <v>0</v>
      </c>
      <c r="G119" s="18"/>
      <c r="L119" s="83">
        <f t="shared" si="57"/>
        <v>0</v>
      </c>
      <c r="M119" s="68"/>
      <c r="N119" s="62">
        <v>42264</v>
      </c>
      <c r="O119" s="37">
        <f t="shared" si="58"/>
        <v>0</v>
      </c>
      <c r="P119" s="85">
        <f t="shared" si="59"/>
        <v>0</v>
      </c>
      <c r="Q119" s="85">
        <f t="shared" si="60"/>
        <v>0</v>
      </c>
      <c r="R119" s="84">
        <f t="shared" si="71"/>
        <v>118272.74461060575</v>
      </c>
      <c r="S119" s="86">
        <f t="shared" si="61"/>
        <v>2.7151686090589013</v>
      </c>
      <c r="T119" s="85">
        <f t="shared" si="62"/>
        <v>173.42044664311695</v>
      </c>
      <c r="U119" s="88">
        <f>LOOKUP(N119,'weather data'!$B$7:$B$158,'weather data'!$C$7:$C$158)</f>
        <v>0</v>
      </c>
      <c r="V119" s="88">
        <f t="shared" si="63"/>
        <v>0</v>
      </c>
      <c r="W119" s="88">
        <f t="shared" si="72"/>
        <v>2.6480000000000006</v>
      </c>
      <c r="X119" s="79">
        <f>LOOKUP(N119,'weather data'!$B$7:$B$158,'weather data'!$E$7:$E$158)</f>
        <v>0.08</v>
      </c>
      <c r="Y119" s="6">
        <v>1</v>
      </c>
      <c r="Z119" s="6">
        <v>109</v>
      </c>
      <c r="AA119" s="95">
        <f t="shared" si="85"/>
        <v>144.13223140495867</v>
      </c>
      <c r="AB119" s="94">
        <f ca="1">FORECAST(AA119,OFFSET(Soils!$K$41:$K$57,MATCH(AA119,Soils!$J$41:$J$57,1)-1,0,2),OFFSET(Soils!$J$41:$J$57,MATCH(AA119,Soils!$J$41:$J$57,1)-1,0,2))</f>
        <v>0.32801652892561961</v>
      </c>
      <c r="AC119" s="92">
        <f t="shared" ca="1" si="73"/>
        <v>1</v>
      </c>
      <c r="AD119" s="92">
        <f t="shared" ca="1" si="64"/>
        <v>0.32801652892561961</v>
      </c>
      <c r="AE119" s="87">
        <f t="shared" ca="1" si="65"/>
        <v>2.6241322314049569E-2</v>
      </c>
      <c r="AF119" s="87">
        <f t="shared" ca="1" si="74"/>
        <v>2.6241322314049569E-2</v>
      </c>
      <c r="AG119" s="87">
        <f t="shared" ca="1" si="75"/>
        <v>12.253132483164073</v>
      </c>
      <c r="AH119" s="56">
        <f ca="1">FORECAST(AA119,OFFSET(Soils!$L$41:$L$57,MATCH(AA119,Soils!$J$41:$J$57,1)-1,0,2),OFFSET(Soils!$J$41:$J$57,MATCH(AA119,Soils!$J$41:$J$57,1)-1,0,2))</f>
        <v>0.13687110337828035</v>
      </c>
      <c r="AI119" s="27">
        <v>2</v>
      </c>
      <c r="AJ119" s="54"/>
      <c r="AK119" s="54">
        <f t="shared" si="53"/>
        <v>2.16</v>
      </c>
      <c r="AL119" s="54">
        <f t="shared" si="66"/>
        <v>54.863999999999997</v>
      </c>
      <c r="AM119" s="27">
        <f t="shared" si="76"/>
        <v>0.64800000000000002</v>
      </c>
      <c r="AN119" s="40">
        <f t="shared" si="77"/>
        <v>1.512</v>
      </c>
      <c r="AO119" s="27">
        <f t="shared" ca="1" si="78"/>
        <v>0</v>
      </c>
      <c r="AP119" s="27">
        <f t="shared" ca="1" si="86"/>
        <v>2.6241322314049569E-2</v>
      </c>
      <c r="AQ119" s="27">
        <f t="shared" ca="1" si="79"/>
        <v>2.1337586776859507</v>
      </c>
      <c r="AR119" s="27">
        <f t="shared" ca="1" si="80"/>
        <v>1</v>
      </c>
      <c r="AS119" s="27">
        <f t="shared" ca="1" si="87"/>
        <v>0</v>
      </c>
      <c r="AT119" s="28">
        <f t="shared" ca="1" si="81"/>
        <v>163.84155548226698</v>
      </c>
      <c r="AU119" s="27">
        <f t="shared" ca="1" si="67"/>
        <v>0</v>
      </c>
      <c r="AV119" s="51">
        <f t="shared" ca="1" si="68"/>
        <v>0</v>
      </c>
      <c r="AW119" s="51">
        <f t="shared" ca="1" si="82"/>
        <v>162.37617555572078</v>
      </c>
      <c r="AX119" s="27">
        <f t="shared" ca="1" si="69"/>
        <v>0</v>
      </c>
      <c r="AY119" s="54">
        <f t="shared" ca="1" si="83"/>
        <v>1.465379926546194</v>
      </c>
      <c r="AZ119" s="91">
        <f t="shared" si="89"/>
        <v>176.06844664311694</v>
      </c>
      <c r="BA119" s="33">
        <f t="shared" ca="1" si="88"/>
        <v>0</v>
      </c>
      <c r="BB119" s="33">
        <f t="shared" ca="1" si="84"/>
        <v>12.22689116085002</v>
      </c>
    </row>
    <row r="120" spans="2:54" x14ac:dyDescent="0.25">
      <c r="B120" s="18"/>
      <c r="D120" s="154">
        <v>42265</v>
      </c>
      <c r="E120" s="58">
        <v>0</v>
      </c>
      <c r="G120" s="18"/>
      <c r="L120" s="83">
        <f t="shared" si="57"/>
        <v>0</v>
      </c>
      <c r="M120" s="68"/>
      <c r="N120" s="62">
        <v>42265</v>
      </c>
      <c r="O120" s="37">
        <f t="shared" si="58"/>
        <v>0</v>
      </c>
      <c r="P120" s="85">
        <f t="shared" si="59"/>
        <v>0</v>
      </c>
      <c r="Q120" s="85">
        <f t="shared" si="60"/>
        <v>0</v>
      </c>
      <c r="R120" s="84">
        <f t="shared" si="71"/>
        <v>118272.74461060575</v>
      </c>
      <c r="S120" s="86">
        <f t="shared" si="61"/>
        <v>2.7151686090589013</v>
      </c>
      <c r="T120" s="85">
        <f t="shared" si="62"/>
        <v>173.42044664311695</v>
      </c>
      <c r="U120" s="88">
        <f>LOOKUP(N120,'weather data'!$B$7:$B$158,'weather data'!$C$7:$C$158)</f>
        <v>0</v>
      </c>
      <c r="V120" s="88">
        <f t="shared" si="63"/>
        <v>0</v>
      </c>
      <c r="W120" s="88">
        <f t="shared" si="72"/>
        <v>2.6480000000000006</v>
      </c>
      <c r="X120" s="79">
        <f>LOOKUP(N120,'weather data'!$B$7:$B$158,'weather data'!$E$7:$E$158)</f>
        <v>0.13</v>
      </c>
      <c r="Y120" s="6">
        <v>1</v>
      </c>
      <c r="Z120" s="6">
        <v>110</v>
      </c>
      <c r="AA120" s="95">
        <f t="shared" si="85"/>
        <v>145.45454545454547</v>
      </c>
      <c r="AB120" s="94">
        <f ca="1">FORECAST(AA120,OFFSET(Soils!$K$41:$K$57,MATCH(AA120,Soils!$J$41:$J$57,1)-1,0,2),OFFSET(Soils!$J$41:$J$57,MATCH(AA120,Soils!$J$41:$J$57,1)-1,0,2))</f>
        <v>0.30818181818181767</v>
      </c>
      <c r="AC120" s="92">
        <f t="shared" ca="1" si="73"/>
        <v>1</v>
      </c>
      <c r="AD120" s="92">
        <f t="shared" ca="1" si="64"/>
        <v>0.30818181818181767</v>
      </c>
      <c r="AE120" s="87">
        <f t="shared" ca="1" si="65"/>
        <v>4.0063636363636301E-2</v>
      </c>
      <c r="AF120" s="87">
        <f t="shared" ca="1" si="74"/>
        <v>4.0063636363636301E-2</v>
      </c>
      <c r="AG120" s="87">
        <f t="shared" ca="1" si="75"/>
        <v>12.293196119527709</v>
      </c>
      <c r="AH120" s="56">
        <f ca="1">FORECAST(AA120,OFFSET(Soils!$L$41:$L$57,MATCH(AA120,Soils!$J$41:$J$57,1)-1,0,2),OFFSET(Soils!$J$41:$J$57,MATCH(AA120,Soils!$J$41:$J$57,1)-1,0,2))</f>
        <v>0.10207336523125976</v>
      </c>
      <c r="AI120" s="27">
        <v>2</v>
      </c>
      <c r="AJ120" s="54"/>
      <c r="AK120" s="54">
        <f t="shared" si="53"/>
        <v>2.16</v>
      </c>
      <c r="AL120" s="54">
        <f t="shared" si="66"/>
        <v>54.863999999999997</v>
      </c>
      <c r="AM120" s="27">
        <f t="shared" si="76"/>
        <v>0.64800000000000002</v>
      </c>
      <c r="AN120" s="40">
        <f t="shared" si="77"/>
        <v>1.512</v>
      </c>
      <c r="AO120" s="27">
        <f t="shared" ca="1" si="78"/>
        <v>2.6241322314049569E-2</v>
      </c>
      <c r="AP120" s="27">
        <f t="shared" ca="1" si="86"/>
        <v>6.6304958677685877E-2</v>
      </c>
      <c r="AQ120" s="27">
        <f t="shared" ca="1" si="79"/>
        <v>2.0936950413223143</v>
      </c>
      <c r="AR120" s="27">
        <f t="shared" ca="1" si="80"/>
        <v>1</v>
      </c>
      <c r="AS120" s="27">
        <f t="shared" ca="1" si="87"/>
        <v>0</v>
      </c>
      <c r="AT120" s="28">
        <f t="shared" ca="1" si="81"/>
        <v>163.84155548226698</v>
      </c>
      <c r="AU120" s="27">
        <f t="shared" ca="1" si="67"/>
        <v>0</v>
      </c>
      <c r="AV120" s="51">
        <f t="shared" ca="1" si="68"/>
        <v>0</v>
      </c>
      <c r="AW120" s="51">
        <f t="shared" ca="1" si="82"/>
        <v>162.37617555572078</v>
      </c>
      <c r="AX120" s="27">
        <f t="shared" ca="1" si="69"/>
        <v>0</v>
      </c>
      <c r="AY120" s="54">
        <f t="shared" ca="1" si="83"/>
        <v>1.465379926546194</v>
      </c>
      <c r="AZ120" s="91">
        <f t="shared" si="89"/>
        <v>176.06844664311694</v>
      </c>
      <c r="BA120" s="33">
        <f t="shared" ca="1" si="88"/>
        <v>0</v>
      </c>
      <c r="BB120" s="33">
        <f t="shared" ca="1" si="84"/>
        <v>12.22689116085002</v>
      </c>
    </row>
    <row r="121" spans="2:54" x14ac:dyDescent="0.25">
      <c r="B121" s="18"/>
      <c r="D121" s="154">
        <v>42266</v>
      </c>
      <c r="E121" s="58">
        <v>0</v>
      </c>
      <c r="G121" s="18"/>
      <c r="L121" s="83">
        <f t="shared" si="57"/>
        <v>0</v>
      </c>
      <c r="M121" s="68"/>
      <c r="N121" s="62">
        <v>42266</v>
      </c>
      <c r="O121" s="37">
        <f t="shared" si="58"/>
        <v>0</v>
      </c>
      <c r="P121" s="85">
        <f t="shared" si="59"/>
        <v>0</v>
      </c>
      <c r="Q121" s="85">
        <f t="shared" si="60"/>
        <v>0</v>
      </c>
      <c r="R121" s="84">
        <f t="shared" si="71"/>
        <v>118272.74461060575</v>
      </c>
      <c r="S121" s="86">
        <f t="shared" si="61"/>
        <v>2.7151686090589013</v>
      </c>
      <c r="T121" s="85">
        <f t="shared" si="62"/>
        <v>173.42044664311695</v>
      </c>
      <c r="U121" s="88">
        <f>LOOKUP(N121,'weather data'!$B$7:$B$158,'weather data'!$C$7:$C$158)</f>
        <v>0</v>
      </c>
      <c r="V121" s="88">
        <f t="shared" si="63"/>
        <v>0</v>
      </c>
      <c r="W121" s="88">
        <f t="shared" si="72"/>
        <v>2.6480000000000006</v>
      </c>
      <c r="X121" s="79">
        <f>LOOKUP(N121,'weather data'!$B$7:$B$158,'weather data'!$E$7:$E$158)</f>
        <v>0.14000000000000001</v>
      </c>
      <c r="Y121" s="6">
        <v>1</v>
      </c>
      <c r="Z121" s="6">
        <v>111</v>
      </c>
      <c r="AA121" s="95">
        <f t="shared" si="85"/>
        <v>146.77685950413223</v>
      </c>
      <c r="AB121" s="94">
        <f ca="1">FORECAST(AA121,OFFSET(Soils!$K$41:$K$57,MATCH(AA121,Soils!$J$41:$J$57,1)-1,0,2),OFFSET(Soils!$J$41:$J$57,MATCH(AA121,Soils!$J$41:$J$57,1)-1,0,2))</f>
        <v>0.28834710743801617</v>
      </c>
      <c r="AC121" s="92">
        <f t="shared" ca="1" si="73"/>
        <v>1</v>
      </c>
      <c r="AD121" s="92">
        <f t="shared" ca="1" si="64"/>
        <v>0.28834710743801617</v>
      </c>
      <c r="AE121" s="87">
        <f t="shared" ca="1" si="65"/>
        <v>4.0368595041322265E-2</v>
      </c>
      <c r="AF121" s="87">
        <f t="shared" ca="1" si="74"/>
        <v>4.0368595041322265E-2</v>
      </c>
      <c r="AG121" s="87">
        <f t="shared" ca="1" si="75"/>
        <v>12.333564714569031</v>
      </c>
      <c r="AH121" s="56">
        <f ca="1">FORECAST(AA121,OFFSET(Soils!$L$41:$L$57,MATCH(AA121,Soils!$J$41:$J$57,1)-1,0,2),OFFSET(Soils!$J$41:$J$57,MATCH(AA121,Soils!$J$41:$J$57,1)-1,0,2))</f>
        <v>6.727562708423962E-2</v>
      </c>
      <c r="AI121" s="27">
        <v>2</v>
      </c>
      <c r="AJ121" s="54"/>
      <c r="AK121" s="54">
        <f t="shared" si="53"/>
        <v>2.16</v>
      </c>
      <c r="AL121" s="54">
        <f t="shared" si="66"/>
        <v>54.863999999999997</v>
      </c>
      <c r="AM121" s="27">
        <f t="shared" si="76"/>
        <v>0.64800000000000002</v>
      </c>
      <c r="AN121" s="40">
        <f t="shared" si="77"/>
        <v>1.512</v>
      </c>
      <c r="AO121" s="27">
        <f t="shared" ca="1" si="78"/>
        <v>6.6304958677685877E-2</v>
      </c>
      <c r="AP121" s="27">
        <f t="shared" ca="1" si="86"/>
        <v>0.10667355371900814</v>
      </c>
      <c r="AQ121" s="27">
        <f t="shared" ca="1" si="79"/>
        <v>2.0533264462809919</v>
      </c>
      <c r="AR121" s="27">
        <f t="shared" ca="1" si="80"/>
        <v>1</v>
      </c>
      <c r="AS121" s="27">
        <f t="shared" ca="1" si="87"/>
        <v>0</v>
      </c>
      <c r="AT121" s="28">
        <f t="shared" ca="1" si="81"/>
        <v>163.84155548226698</v>
      </c>
      <c r="AU121" s="27">
        <f t="shared" ca="1" si="67"/>
        <v>0</v>
      </c>
      <c r="AV121" s="51">
        <f t="shared" ca="1" si="68"/>
        <v>0</v>
      </c>
      <c r="AW121" s="51">
        <f t="shared" ca="1" si="82"/>
        <v>162.37617555572078</v>
      </c>
      <c r="AX121" s="27">
        <f t="shared" ca="1" si="69"/>
        <v>0</v>
      </c>
      <c r="AY121" s="54">
        <f t="shared" ca="1" si="83"/>
        <v>1.465379926546194</v>
      </c>
      <c r="AZ121" s="91">
        <f t="shared" si="89"/>
        <v>176.06844664311694</v>
      </c>
      <c r="BA121" s="33">
        <f t="shared" ca="1" si="88"/>
        <v>0</v>
      </c>
      <c r="BB121" s="33">
        <f t="shared" ca="1" si="84"/>
        <v>12.22689116085002</v>
      </c>
    </row>
    <row r="122" spans="2:54" x14ac:dyDescent="0.25">
      <c r="B122" s="18"/>
      <c r="D122" s="154">
        <v>42267</v>
      </c>
      <c r="E122" s="58">
        <v>0</v>
      </c>
      <c r="G122" s="18"/>
      <c r="L122" s="83">
        <f t="shared" si="57"/>
        <v>0</v>
      </c>
      <c r="M122" s="68"/>
      <c r="N122" s="62">
        <v>42267</v>
      </c>
      <c r="O122" s="37">
        <f t="shared" si="58"/>
        <v>0</v>
      </c>
      <c r="P122" s="85">
        <f t="shared" si="59"/>
        <v>0</v>
      </c>
      <c r="Q122" s="85">
        <f t="shared" si="60"/>
        <v>0</v>
      </c>
      <c r="R122" s="84">
        <f t="shared" si="71"/>
        <v>118272.74461060575</v>
      </c>
      <c r="S122" s="86">
        <f t="shared" si="61"/>
        <v>2.7151686090589013</v>
      </c>
      <c r="T122" s="85">
        <f t="shared" si="62"/>
        <v>173.42044664311695</v>
      </c>
      <c r="U122" s="88">
        <f>LOOKUP(N122,'weather data'!$B$7:$B$158,'weather data'!$C$7:$C$158)</f>
        <v>0</v>
      </c>
      <c r="V122" s="88">
        <f t="shared" si="63"/>
        <v>0</v>
      </c>
      <c r="W122" s="88">
        <f t="shared" si="72"/>
        <v>2.6480000000000006</v>
      </c>
      <c r="X122" s="79">
        <f>LOOKUP(N122,'weather data'!$B$7:$B$158,'weather data'!$E$7:$E$158)</f>
        <v>0.15</v>
      </c>
      <c r="Y122" s="6">
        <v>1</v>
      </c>
      <c r="Z122" s="6">
        <v>112</v>
      </c>
      <c r="AA122" s="95">
        <f t="shared" si="85"/>
        <v>148.099173553719</v>
      </c>
      <c r="AB122" s="94">
        <f ca="1">FORECAST(AA122,OFFSET(Soils!$K$41:$K$57,MATCH(AA122,Soils!$J$41:$J$57,1)-1,0,2),OFFSET(Soils!$J$41:$J$57,MATCH(AA122,Soils!$J$41:$J$57,1)-1,0,2))</f>
        <v>0.26851239669421467</v>
      </c>
      <c r="AC122" s="92">
        <f t="shared" ca="1" si="73"/>
        <v>1</v>
      </c>
      <c r="AD122" s="92">
        <f t="shared" ca="1" si="64"/>
        <v>0.26851239669421467</v>
      </c>
      <c r="AE122" s="87">
        <f t="shared" ca="1" si="65"/>
        <v>4.0276859504132199E-2</v>
      </c>
      <c r="AF122" s="87">
        <f t="shared" ca="1" si="74"/>
        <v>4.0276859504132199E-2</v>
      </c>
      <c r="AG122" s="87">
        <f t="shared" ca="1" si="75"/>
        <v>12.373841574073163</v>
      </c>
      <c r="AH122" s="56">
        <f ca="1">FORECAST(AA122,OFFSET(Soils!$L$41:$L$57,MATCH(AA122,Soils!$J$41:$J$57,1)-1,0,2),OFFSET(Soils!$J$41:$J$57,MATCH(AA122,Soils!$J$41:$J$57,1)-1,0,2))</f>
        <v>3.2477888937219479E-2</v>
      </c>
      <c r="AI122" s="27">
        <v>2</v>
      </c>
      <c r="AJ122" s="54"/>
      <c r="AK122" s="54">
        <f t="shared" si="53"/>
        <v>2.16</v>
      </c>
      <c r="AL122" s="54">
        <f t="shared" si="66"/>
        <v>54.863999999999997</v>
      </c>
      <c r="AM122" s="27">
        <f t="shared" si="76"/>
        <v>0.64800000000000002</v>
      </c>
      <c r="AN122" s="40">
        <f t="shared" si="77"/>
        <v>1.512</v>
      </c>
      <c r="AO122" s="27">
        <f t="shared" ca="1" si="78"/>
        <v>0.10667355371900814</v>
      </c>
      <c r="AP122" s="27">
        <f t="shared" ca="1" si="86"/>
        <v>0.14695041322314034</v>
      </c>
      <c r="AQ122" s="27">
        <f t="shared" ca="1" si="79"/>
        <v>2.0130495867768596</v>
      </c>
      <c r="AR122" s="27">
        <f t="shared" ca="1" si="80"/>
        <v>1</v>
      </c>
      <c r="AS122" s="27">
        <f t="shared" ca="1" si="87"/>
        <v>0</v>
      </c>
      <c r="AT122" s="28">
        <f t="shared" ca="1" si="81"/>
        <v>163.84155548226698</v>
      </c>
      <c r="AU122" s="27">
        <f t="shared" ca="1" si="67"/>
        <v>0</v>
      </c>
      <c r="AV122" s="51">
        <f t="shared" ca="1" si="68"/>
        <v>0</v>
      </c>
      <c r="AW122" s="51">
        <f t="shared" ca="1" si="82"/>
        <v>162.37617555572078</v>
      </c>
      <c r="AX122" s="27">
        <f t="shared" ca="1" si="69"/>
        <v>0</v>
      </c>
      <c r="AY122" s="54">
        <f t="shared" ca="1" si="83"/>
        <v>1.465379926546194</v>
      </c>
      <c r="AZ122" s="91">
        <f t="shared" si="89"/>
        <v>176.06844664311694</v>
      </c>
      <c r="BA122" s="33">
        <f t="shared" ca="1" si="88"/>
        <v>0</v>
      </c>
      <c r="BB122" s="33">
        <f t="shared" ca="1" si="84"/>
        <v>12.22689116085002</v>
      </c>
    </row>
    <row r="123" spans="2:54" x14ac:dyDescent="0.25">
      <c r="B123" s="18"/>
      <c r="D123" s="154">
        <v>42268</v>
      </c>
      <c r="E123" s="58">
        <f>B45</f>
        <v>2561.4737708653183</v>
      </c>
      <c r="G123" s="18"/>
      <c r="L123" s="83">
        <f t="shared" si="57"/>
        <v>2561.4737708653183</v>
      </c>
      <c r="M123" s="68"/>
      <c r="N123" s="62">
        <v>42268</v>
      </c>
      <c r="O123" s="37">
        <f t="shared" si="58"/>
        <v>2561.4737708653183</v>
      </c>
      <c r="P123" s="85">
        <f t="shared" si="59"/>
        <v>3.7558266434975343</v>
      </c>
      <c r="Q123" s="85">
        <f t="shared" si="60"/>
        <v>95.397996744837371</v>
      </c>
      <c r="R123" s="84">
        <f t="shared" si="71"/>
        <v>120834.21838147106</v>
      </c>
      <c r="S123" s="86">
        <f t="shared" si="61"/>
        <v>2.7739719554974989</v>
      </c>
      <c r="T123" s="85">
        <f t="shared" si="62"/>
        <v>177.17627328661445</v>
      </c>
      <c r="U123" s="88">
        <f>LOOKUP(N123,'weather data'!$B$7:$B$158,'weather data'!$C$7:$C$158)</f>
        <v>0</v>
      </c>
      <c r="V123" s="88">
        <f t="shared" si="63"/>
        <v>0</v>
      </c>
      <c r="W123" s="88">
        <f t="shared" si="72"/>
        <v>2.6480000000000006</v>
      </c>
      <c r="X123" s="79">
        <f>LOOKUP(N123,'weather data'!$B$7:$B$158,'weather data'!$E$7:$E$158)</f>
        <v>0.15</v>
      </c>
      <c r="Y123" s="6">
        <v>1</v>
      </c>
      <c r="Z123" s="6">
        <v>113</v>
      </c>
      <c r="AA123" s="95">
        <f t="shared" si="85"/>
        <v>149.42148760330579</v>
      </c>
      <c r="AB123" s="94">
        <f ca="1">FORECAST(AA123,OFFSET(Soils!$K$41:$K$57,MATCH(AA123,Soils!$J$41:$J$57,1)-1,0,2),OFFSET(Soils!$J$41:$J$57,MATCH(AA123,Soils!$J$41:$J$57,1)-1,0,2))</f>
        <v>0.24867768595041273</v>
      </c>
      <c r="AC123" s="92">
        <f t="shared" ca="1" si="73"/>
        <v>1</v>
      </c>
      <c r="AD123" s="92">
        <f t="shared" ca="1" si="64"/>
        <v>0.24867768595041273</v>
      </c>
      <c r="AE123" s="87">
        <f t="shared" ca="1" si="65"/>
        <v>3.7301652892561911E-2</v>
      </c>
      <c r="AF123" s="87">
        <f t="shared" ca="1" si="74"/>
        <v>3.7301652892561911E-2</v>
      </c>
      <c r="AG123" s="87">
        <f t="shared" ca="1" si="75"/>
        <v>12.411143226965725</v>
      </c>
      <c r="AH123" s="56">
        <f ca="1">FORECAST(AA123,OFFSET(Soils!$L$41:$L$57,MATCH(AA123,Soils!$J$41:$J$57,1)-1,0,2),OFFSET(Soils!$J$41:$J$57,MATCH(AA123,Soils!$J$41:$J$57,1)-1,0,2))</f>
        <v>-2.31984920980155E-3</v>
      </c>
      <c r="AI123" s="27">
        <v>2</v>
      </c>
      <c r="AJ123" s="54"/>
      <c r="AK123" s="54">
        <f t="shared" si="53"/>
        <v>2.16</v>
      </c>
      <c r="AL123" s="54">
        <f t="shared" si="66"/>
        <v>54.863999999999997</v>
      </c>
      <c r="AM123" s="27">
        <f t="shared" si="76"/>
        <v>0.64800000000000002</v>
      </c>
      <c r="AN123" s="40">
        <f t="shared" si="77"/>
        <v>1.512</v>
      </c>
      <c r="AO123" s="27">
        <f t="shared" ca="1" si="78"/>
        <v>0.14695041322314034</v>
      </c>
      <c r="AP123" s="27">
        <f t="shared" ca="1" si="86"/>
        <v>0</v>
      </c>
      <c r="AQ123" s="27">
        <f t="shared" ca="1" si="79"/>
        <v>2.16</v>
      </c>
      <c r="AR123" s="27">
        <f t="shared" ca="1" si="80"/>
        <v>1</v>
      </c>
      <c r="AS123" s="27">
        <f t="shared" ca="1" si="87"/>
        <v>3.5715745773818317</v>
      </c>
      <c r="AT123" s="28">
        <f t="shared" ca="1" si="81"/>
        <v>167.41313005964881</v>
      </c>
      <c r="AU123" s="27">
        <f t="shared" ca="1" si="67"/>
        <v>3.5715745773818317</v>
      </c>
      <c r="AV123" s="51">
        <f t="shared" ca="1" si="68"/>
        <v>90.717994265498518</v>
      </c>
      <c r="AW123" s="51">
        <f t="shared" ca="1" si="82"/>
        <v>165.9477501331026</v>
      </c>
      <c r="AX123" s="27">
        <f t="shared" ca="1" si="69"/>
        <v>0</v>
      </c>
      <c r="AY123" s="54">
        <f t="shared" ca="1" si="83"/>
        <v>1.465379926546194</v>
      </c>
      <c r="AZ123" s="91">
        <f t="shared" si="89"/>
        <v>179.82427328661447</v>
      </c>
      <c r="BA123" s="33">
        <f t="shared" ca="1" si="88"/>
        <v>0.18425206611570255</v>
      </c>
      <c r="BB123" s="33">
        <f t="shared" ca="1" si="84"/>
        <v>12.411143226965722</v>
      </c>
    </row>
    <row r="124" spans="2:54" x14ac:dyDescent="0.25">
      <c r="B124" s="18"/>
      <c r="D124" s="154">
        <v>42269</v>
      </c>
      <c r="E124" s="58">
        <v>0</v>
      </c>
      <c r="G124" s="18"/>
      <c r="L124" s="83">
        <f t="shared" si="57"/>
        <v>0</v>
      </c>
      <c r="M124" s="68"/>
      <c r="N124" s="62">
        <v>42269</v>
      </c>
      <c r="O124" s="37">
        <f t="shared" si="58"/>
        <v>0</v>
      </c>
      <c r="P124" s="85">
        <f t="shared" si="59"/>
        <v>0</v>
      </c>
      <c r="Q124" s="85">
        <f t="shared" si="60"/>
        <v>0</v>
      </c>
      <c r="R124" s="84">
        <f t="shared" si="71"/>
        <v>120834.21838147106</v>
      </c>
      <c r="S124" s="86">
        <f t="shared" si="61"/>
        <v>2.7739719554974989</v>
      </c>
      <c r="T124" s="85">
        <f t="shared" si="62"/>
        <v>177.17627328661445</v>
      </c>
      <c r="U124" s="88">
        <f>LOOKUP(N124,'weather data'!$B$7:$B$158,'weather data'!$C$7:$C$158)</f>
        <v>0</v>
      </c>
      <c r="V124" s="88">
        <f t="shared" si="63"/>
        <v>0</v>
      </c>
      <c r="W124" s="88">
        <f t="shared" si="72"/>
        <v>2.6480000000000006</v>
      </c>
      <c r="X124" s="79">
        <f>LOOKUP(N124,'weather data'!$B$7:$B$158,'weather data'!$E$7:$E$158)</f>
        <v>0.16</v>
      </c>
      <c r="Y124" s="6">
        <v>1</v>
      </c>
      <c r="Z124" s="6">
        <v>114</v>
      </c>
      <c r="AA124" s="95">
        <f t="shared" si="85"/>
        <v>150.74380165289256</v>
      </c>
      <c r="AB124" s="94">
        <f ca="1">FORECAST(AA124,OFFSET(Soils!$K$41:$K$57,MATCH(AA124,Soils!$J$41:$J$57,1)-1,0,2),OFFSET(Soils!$J$41:$J$57,MATCH(AA124,Soils!$J$41:$J$57,1)-1,0,2))</f>
        <v>0.23702479338842974</v>
      </c>
      <c r="AC124" s="92">
        <f t="shared" ca="1" si="73"/>
        <v>1</v>
      </c>
      <c r="AD124" s="92">
        <f t="shared" ca="1" si="64"/>
        <v>0.23702479338842974</v>
      </c>
      <c r="AE124" s="87">
        <f t="shared" ca="1" si="65"/>
        <v>3.7923966942148758E-2</v>
      </c>
      <c r="AF124" s="87">
        <f t="shared" ca="1" si="74"/>
        <v>3.7923966942148758E-2</v>
      </c>
      <c r="AG124" s="87">
        <f t="shared" ca="1" si="75"/>
        <v>12.449067193907874</v>
      </c>
      <c r="AH124" s="56">
        <f ca="1">FORECAST(AA124,OFFSET(Soils!$L$41:$L$57,MATCH(AA124,Soils!$J$41:$J$57,1)-1,0,2),OFFSET(Soils!$J$41:$J$57,MATCH(AA124,Soils!$J$41:$J$57,1)-1,0,2))</f>
        <v>-2.2763520371175794E-2</v>
      </c>
      <c r="AI124" s="27">
        <v>2</v>
      </c>
      <c r="AJ124" s="54"/>
      <c r="AK124" s="54">
        <f t="shared" si="53"/>
        <v>2.16</v>
      </c>
      <c r="AL124" s="54">
        <f t="shared" si="66"/>
        <v>54.863999999999997</v>
      </c>
      <c r="AM124" s="27">
        <f t="shared" si="76"/>
        <v>0.64800000000000002</v>
      </c>
      <c r="AN124" s="40">
        <f t="shared" si="77"/>
        <v>1.512</v>
      </c>
      <c r="AO124" s="27">
        <f t="shared" ca="1" si="78"/>
        <v>0</v>
      </c>
      <c r="AP124" s="27">
        <f t="shared" ca="1" si="86"/>
        <v>3.7923966942148758E-2</v>
      </c>
      <c r="AQ124" s="27">
        <f t="shared" ca="1" si="79"/>
        <v>2.1220760330578514</v>
      </c>
      <c r="AR124" s="27">
        <f t="shared" ca="1" si="80"/>
        <v>1</v>
      </c>
      <c r="AS124" s="27">
        <f t="shared" ca="1" si="87"/>
        <v>0</v>
      </c>
      <c r="AT124" s="28">
        <f t="shared" ca="1" si="81"/>
        <v>167.41313005964881</v>
      </c>
      <c r="AU124" s="27">
        <f t="shared" ca="1" si="67"/>
        <v>0</v>
      </c>
      <c r="AV124" s="51">
        <f t="shared" ca="1" si="68"/>
        <v>0</v>
      </c>
      <c r="AW124" s="51">
        <f t="shared" ca="1" si="82"/>
        <v>165.9477501331026</v>
      </c>
      <c r="AX124" s="27">
        <f t="shared" ca="1" si="69"/>
        <v>0</v>
      </c>
      <c r="AY124" s="54">
        <f t="shared" ca="1" si="83"/>
        <v>1.465379926546194</v>
      </c>
      <c r="AZ124" s="91">
        <f t="shared" si="89"/>
        <v>179.82427328661447</v>
      </c>
      <c r="BA124" s="33">
        <f t="shared" ca="1" si="88"/>
        <v>0</v>
      </c>
      <c r="BB124" s="33">
        <f t="shared" ca="1" si="84"/>
        <v>12.411143226965722</v>
      </c>
    </row>
    <row r="125" spans="2:54" x14ac:dyDescent="0.25">
      <c r="B125" s="18"/>
      <c r="D125" s="154">
        <v>42270</v>
      </c>
      <c r="E125" s="58">
        <f>B46</f>
        <v>2561</v>
      </c>
      <c r="G125" s="18"/>
      <c r="L125" s="83">
        <f t="shared" si="57"/>
        <v>2561</v>
      </c>
      <c r="M125" s="68"/>
      <c r="N125" s="62">
        <v>42270</v>
      </c>
      <c r="O125" s="37">
        <f t="shared" si="58"/>
        <v>2561</v>
      </c>
      <c r="P125" s="85">
        <f t="shared" si="59"/>
        <v>3.7551319648093839</v>
      </c>
      <c r="Q125" s="85">
        <f t="shared" si="60"/>
        <v>95.380351906158353</v>
      </c>
      <c r="R125" s="84">
        <f t="shared" si="71"/>
        <v>123395.21838147106</v>
      </c>
      <c r="S125" s="86">
        <f t="shared" si="61"/>
        <v>2.8327644256536058</v>
      </c>
      <c r="T125" s="85">
        <f t="shared" si="62"/>
        <v>180.93140525142385</v>
      </c>
      <c r="U125" s="88">
        <f>LOOKUP(N125,'weather data'!$B$7:$B$158,'weather data'!$C$7:$C$158)</f>
        <v>0</v>
      </c>
      <c r="V125" s="88">
        <f t="shared" si="63"/>
        <v>0</v>
      </c>
      <c r="W125" s="88">
        <f t="shared" si="72"/>
        <v>2.6480000000000006</v>
      </c>
      <c r="X125" s="79">
        <f>LOOKUP(N125,'weather data'!$B$7:$B$158,'weather data'!$E$7:$E$158)</f>
        <v>0.15</v>
      </c>
      <c r="Y125" s="6">
        <v>1</v>
      </c>
      <c r="Z125" s="6">
        <v>115</v>
      </c>
      <c r="AA125" s="95">
        <f t="shared" si="85"/>
        <v>152.06611570247935</v>
      </c>
      <c r="AB125" s="94">
        <f ca="1">FORECAST(AA125,OFFSET(Soils!$K$41:$K$57,MATCH(AA125,Soils!$J$41:$J$57,1)-1,0,2),OFFSET(Soils!$J$41:$J$57,MATCH(AA125,Soils!$J$41:$J$57,1)-1,0,2))</f>
        <v>0.23173553719008255</v>
      </c>
      <c r="AC125" s="92">
        <f t="shared" ca="1" si="73"/>
        <v>1</v>
      </c>
      <c r="AD125" s="92">
        <f t="shared" ca="1" si="64"/>
        <v>0.23173553719008255</v>
      </c>
      <c r="AE125" s="87">
        <f t="shared" ca="1" si="65"/>
        <v>3.4760330578512383E-2</v>
      </c>
      <c r="AF125" s="87">
        <f t="shared" ca="1" si="74"/>
        <v>3.4760330578512383E-2</v>
      </c>
      <c r="AG125" s="87">
        <f t="shared" ca="1" si="75"/>
        <v>12.483827524486387</v>
      </c>
      <c r="AH125" s="56">
        <f ca="1">FORECAST(AA125,OFFSET(Soils!$L$41:$L$57,MATCH(AA125,Soils!$J$41:$J$57,1)-1,0,2),OFFSET(Soils!$J$41:$J$57,MATCH(AA125,Soils!$J$41:$J$57,1)-1,0,2))</f>
        <v>-3.2042917210381328E-2</v>
      </c>
      <c r="AI125" s="27">
        <v>2</v>
      </c>
      <c r="AJ125" s="54"/>
      <c r="AK125" s="54">
        <f t="shared" si="53"/>
        <v>2.16</v>
      </c>
      <c r="AL125" s="54">
        <f t="shared" si="66"/>
        <v>54.863999999999997</v>
      </c>
      <c r="AM125" s="27">
        <f t="shared" si="76"/>
        <v>0.64800000000000002</v>
      </c>
      <c r="AN125" s="40">
        <f t="shared" si="77"/>
        <v>1.512</v>
      </c>
      <c r="AO125" s="27">
        <f t="shared" ca="1" si="78"/>
        <v>3.7923966942148758E-2</v>
      </c>
      <c r="AP125" s="27">
        <f t="shared" ca="1" si="86"/>
        <v>0</v>
      </c>
      <c r="AQ125" s="27">
        <f t="shared" ca="1" si="79"/>
        <v>2.16</v>
      </c>
      <c r="AR125" s="27">
        <f t="shared" ca="1" si="80"/>
        <v>1</v>
      </c>
      <c r="AS125" s="27">
        <f t="shared" ca="1" si="87"/>
        <v>3.6824476672887227</v>
      </c>
      <c r="AT125" s="28">
        <f t="shared" ca="1" si="81"/>
        <v>171.09557772693753</v>
      </c>
      <c r="AU125" s="27">
        <f t="shared" ca="1" si="67"/>
        <v>3.6824476672887227</v>
      </c>
      <c r="AV125" s="51">
        <f t="shared" ca="1" si="68"/>
        <v>93.534170749133551</v>
      </c>
      <c r="AW125" s="51">
        <f t="shared" ca="1" si="82"/>
        <v>169.63019780039133</v>
      </c>
      <c r="AX125" s="27">
        <f t="shared" ca="1" si="69"/>
        <v>0</v>
      </c>
      <c r="AY125" s="54">
        <f t="shared" ca="1" si="83"/>
        <v>1.465379926546194</v>
      </c>
      <c r="AZ125" s="91">
        <f t="shared" si="89"/>
        <v>183.57940525142385</v>
      </c>
      <c r="BA125" s="33">
        <f t="shared" ca="1" si="88"/>
        <v>7.268429752066119E-2</v>
      </c>
      <c r="BB125" s="33">
        <f t="shared" ca="1" si="84"/>
        <v>12.483827524486383</v>
      </c>
    </row>
    <row r="126" spans="2:54" x14ac:dyDescent="0.25">
      <c r="B126" s="18"/>
      <c r="D126" s="154">
        <v>42271</v>
      </c>
      <c r="E126" s="58">
        <v>0</v>
      </c>
      <c r="G126" s="18"/>
      <c r="L126" s="83">
        <f t="shared" si="57"/>
        <v>0</v>
      </c>
      <c r="M126" s="68"/>
      <c r="N126" s="62">
        <v>42271</v>
      </c>
      <c r="O126" s="37">
        <f t="shared" si="58"/>
        <v>0</v>
      </c>
      <c r="P126" s="85">
        <f t="shared" si="59"/>
        <v>0</v>
      </c>
      <c r="Q126" s="85">
        <f t="shared" si="60"/>
        <v>0</v>
      </c>
      <c r="R126" s="84">
        <f t="shared" si="71"/>
        <v>123395.21838147106</v>
      </c>
      <c r="S126" s="86">
        <f t="shared" si="61"/>
        <v>2.8327644256536058</v>
      </c>
      <c r="T126" s="85">
        <f t="shared" si="62"/>
        <v>180.93140525142385</v>
      </c>
      <c r="U126" s="88">
        <f>LOOKUP(N126,'weather data'!$B$7:$B$158,'weather data'!$C$7:$C$158)</f>
        <v>0</v>
      </c>
      <c r="V126" s="88">
        <f t="shared" si="63"/>
        <v>0</v>
      </c>
      <c r="W126" s="88">
        <f t="shared" si="72"/>
        <v>2.6480000000000006</v>
      </c>
      <c r="X126" s="79">
        <f>LOOKUP(N126,'weather data'!$B$7:$B$158,'weather data'!$E$7:$E$158)</f>
        <v>0.15</v>
      </c>
      <c r="Y126" s="6">
        <v>1</v>
      </c>
      <c r="Z126" s="6">
        <v>116</v>
      </c>
      <c r="AA126" s="95">
        <f t="shared" si="85"/>
        <v>153.38842975206612</v>
      </c>
      <c r="AB126" s="94">
        <f ca="1">FORECAST(AA126,OFFSET(Soils!$K$41:$K$57,MATCH(AA126,Soils!$J$41:$J$57,1)-1,0,2),OFFSET(Soils!$J$41:$J$57,MATCH(AA126,Soils!$J$41:$J$57,1)-1,0,2))</f>
        <v>0.22644628099173558</v>
      </c>
      <c r="AC126" s="92">
        <f t="shared" ca="1" si="73"/>
        <v>1</v>
      </c>
      <c r="AD126" s="92">
        <f t="shared" ca="1" si="64"/>
        <v>0.22644628099173558</v>
      </c>
      <c r="AE126" s="87">
        <f t="shared" ca="1" si="65"/>
        <v>3.3966942148760337E-2</v>
      </c>
      <c r="AF126" s="87">
        <f t="shared" ca="1" si="74"/>
        <v>3.3966942148760337E-2</v>
      </c>
      <c r="AG126" s="87">
        <f t="shared" ca="1" si="75"/>
        <v>12.517794466635147</v>
      </c>
      <c r="AH126" s="56">
        <f ca="1">FORECAST(AA126,OFFSET(Soils!$L$41:$L$57,MATCH(AA126,Soils!$J$41:$J$57,1)-1,0,2),OFFSET(Soils!$J$41:$J$57,MATCH(AA126,Soils!$J$41:$J$57,1)-1,0,2))</f>
        <v>-4.1322314049586639E-2</v>
      </c>
      <c r="AI126" s="27">
        <v>2</v>
      </c>
      <c r="AJ126" s="54"/>
      <c r="AK126" s="54">
        <f t="shared" si="53"/>
        <v>2.16</v>
      </c>
      <c r="AL126" s="54">
        <f t="shared" si="66"/>
        <v>54.863999999999997</v>
      </c>
      <c r="AM126" s="27">
        <f t="shared" si="76"/>
        <v>0.64800000000000002</v>
      </c>
      <c r="AN126" s="40">
        <f t="shared" si="77"/>
        <v>1.512</v>
      </c>
      <c r="AO126" s="27">
        <f t="shared" ca="1" si="78"/>
        <v>0</v>
      </c>
      <c r="AP126" s="27">
        <f t="shared" ca="1" si="86"/>
        <v>3.3966942148760337E-2</v>
      </c>
      <c r="AQ126" s="27">
        <f t="shared" ca="1" si="79"/>
        <v>2.1260330578512399</v>
      </c>
      <c r="AR126" s="27">
        <f t="shared" ca="1" si="80"/>
        <v>1</v>
      </c>
      <c r="AS126" s="27">
        <f t="shared" ca="1" si="87"/>
        <v>0</v>
      </c>
      <c r="AT126" s="28">
        <f t="shared" ca="1" si="81"/>
        <v>171.09557772693753</v>
      </c>
      <c r="AU126" s="27">
        <f t="shared" ca="1" si="67"/>
        <v>0</v>
      </c>
      <c r="AV126" s="51">
        <f t="shared" ca="1" si="68"/>
        <v>0</v>
      </c>
      <c r="AW126" s="51">
        <f t="shared" ca="1" si="82"/>
        <v>169.63019780039133</v>
      </c>
      <c r="AX126" s="27">
        <f t="shared" ca="1" si="69"/>
        <v>0</v>
      </c>
      <c r="AY126" s="54">
        <f t="shared" ca="1" si="83"/>
        <v>1.465379926546194</v>
      </c>
      <c r="AZ126" s="91">
        <f t="shared" si="89"/>
        <v>183.57940525142385</v>
      </c>
      <c r="BA126" s="33">
        <f t="shared" ca="1" si="88"/>
        <v>0</v>
      </c>
      <c r="BB126" s="33">
        <f t="shared" ca="1" si="84"/>
        <v>12.483827524486383</v>
      </c>
    </row>
    <row r="127" spans="2:54" x14ac:dyDescent="0.25">
      <c r="B127" s="18"/>
      <c r="D127" s="154">
        <v>42272</v>
      </c>
      <c r="E127" s="58">
        <f>B47</f>
        <v>2561.473770865317</v>
      </c>
      <c r="G127" s="18"/>
      <c r="L127" s="83">
        <f t="shared" si="57"/>
        <v>2561.473770865317</v>
      </c>
      <c r="M127" s="68"/>
      <c r="N127" s="62">
        <v>42272</v>
      </c>
      <c r="O127" s="37">
        <f t="shared" si="58"/>
        <v>2561.473770865317</v>
      </c>
      <c r="P127" s="85">
        <f t="shared" si="59"/>
        <v>3.7558266434975325</v>
      </c>
      <c r="Q127" s="85">
        <f t="shared" si="60"/>
        <v>95.397996744837315</v>
      </c>
      <c r="R127" s="84">
        <f t="shared" si="71"/>
        <v>125956.69215233637</v>
      </c>
      <c r="S127" s="86">
        <f t="shared" si="61"/>
        <v>2.8915677720922033</v>
      </c>
      <c r="T127" s="85">
        <f t="shared" si="62"/>
        <v>184.68723189492138</v>
      </c>
      <c r="U127" s="88">
        <f>LOOKUP(N127,'weather data'!$B$7:$B$158,'weather data'!$C$7:$C$158)</f>
        <v>0</v>
      </c>
      <c r="V127" s="88">
        <f t="shared" si="63"/>
        <v>0</v>
      </c>
      <c r="W127" s="88">
        <f t="shared" si="72"/>
        <v>2.6480000000000006</v>
      </c>
      <c r="X127" s="79">
        <f>LOOKUP(N127,'weather data'!$B$7:$B$158,'weather data'!$E$7:$E$158)</f>
        <v>0.16</v>
      </c>
      <c r="Y127" s="6">
        <v>1</v>
      </c>
      <c r="Z127" s="6">
        <v>117</v>
      </c>
      <c r="AA127" s="95">
        <f t="shared" si="85"/>
        <v>154.71074380165288</v>
      </c>
      <c r="AB127" s="94">
        <f ca="1">FORECAST(AA127,OFFSET(Soils!$K$41:$K$57,MATCH(AA127,Soils!$J$41:$J$57,1)-1,0,2),OFFSET(Soils!$J$41:$J$57,MATCH(AA127,Soils!$J$41:$J$57,1)-1,0,2))</f>
        <v>0.2211570247933885</v>
      </c>
      <c r="AC127" s="92">
        <f t="shared" ca="1" si="73"/>
        <v>1</v>
      </c>
      <c r="AD127" s="92">
        <f t="shared" ca="1" si="64"/>
        <v>0.2211570247933885</v>
      </c>
      <c r="AE127" s="87">
        <f t="shared" ca="1" si="65"/>
        <v>3.5385123966942163E-2</v>
      </c>
      <c r="AF127" s="87">
        <f t="shared" ca="1" si="74"/>
        <v>3.5385123966942163E-2</v>
      </c>
      <c r="AG127" s="87">
        <f t="shared" ca="1" si="75"/>
        <v>12.553179590602088</v>
      </c>
      <c r="AH127" s="56">
        <f ca="1">FORECAST(AA127,OFFSET(Soils!$L$41:$L$57,MATCH(AA127,Soils!$J$41:$J$57,1)-1,0,2),OFFSET(Soils!$J$41:$J$57,MATCH(AA127,Soils!$J$41:$J$57,1)-1,0,2))</f>
        <v>-5.0601710888792173E-2</v>
      </c>
      <c r="AI127" s="27">
        <v>2</v>
      </c>
      <c r="AJ127" s="54"/>
      <c r="AK127" s="54">
        <f t="shared" si="53"/>
        <v>2.16</v>
      </c>
      <c r="AL127" s="54">
        <f t="shared" si="66"/>
        <v>54.863999999999997</v>
      </c>
      <c r="AM127" s="27">
        <f t="shared" si="76"/>
        <v>0.64800000000000002</v>
      </c>
      <c r="AN127" s="40">
        <f t="shared" si="77"/>
        <v>1.512</v>
      </c>
      <c r="AO127" s="27">
        <f t="shared" ca="1" si="78"/>
        <v>3.3966942148760337E-2</v>
      </c>
      <c r="AP127" s="27">
        <f t="shared" ca="1" si="86"/>
        <v>0</v>
      </c>
      <c r="AQ127" s="27">
        <f t="shared" ca="1" si="79"/>
        <v>2.16</v>
      </c>
      <c r="AR127" s="27">
        <f t="shared" ca="1" si="80"/>
        <v>1</v>
      </c>
      <c r="AS127" s="27">
        <f t="shared" ca="1" si="87"/>
        <v>3.6864745773818299</v>
      </c>
      <c r="AT127" s="28">
        <f t="shared" ca="1" si="81"/>
        <v>174.78205230431936</v>
      </c>
      <c r="AU127" s="27">
        <f t="shared" ca="1" si="67"/>
        <v>3.6864745773818299</v>
      </c>
      <c r="AV127" s="51">
        <f t="shared" ca="1" si="68"/>
        <v>93.636454265498472</v>
      </c>
      <c r="AW127" s="51">
        <f t="shared" ca="1" si="82"/>
        <v>173.31667237777316</v>
      </c>
      <c r="AX127" s="27">
        <f t="shared" ca="1" si="69"/>
        <v>0</v>
      </c>
      <c r="AY127" s="54">
        <f t="shared" ca="1" si="83"/>
        <v>1.465379926546194</v>
      </c>
      <c r="AZ127" s="91">
        <f t="shared" si="89"/>
        <v>187.33523189492138</v>
      </c>
      <c r="BA127" s="33">
        <f t="shared" ca="1" si="88"/>
        <v>6.9352066115702549E-2</v>
      </c>
      <c r="BB127" s="33">
        <f t="shared" ca="1" si="84"/>
        <v>12.553179590602085</v>
      </c>
    </row>
    <row r="128" spans="2:54" x14ac:dyDescent="0.25">
      <c r="B128" s="18"/>
      <c r="D128" s="154">
        <v>42273</v>
      </c>
      <c r="E128" s="58">
        <v>0</v>
      </c>
      <c r="G128" s="18"/>
      <c r="L128" s="83">
        <f t="shared" si="57"/>
        <v>0</v>
      </c>
      <c r="M128" s="68"/>
      <c r="N128" s="62">
        <v>42273</v>
      </c>
      <c r="O128" s="37">
        <f t="shared" ref="O128:O131" si="90">L128</f>
        <v>0</v>
      </c>
      <c r="P128" s="85">
        <f t="shared" ref="P128:P131" si="91">(O128/$D$2)*12</f>
        <v>0</v>
      </c>
      <c r="Q128" s="85">
        <f t="shared" si="60"/>
        <v>0</v>
      </c>
      <c r="R128" s="84">
        <f t="shared" ref="R128:R131" si="92">O128+R127</f>
        <v>125956.69215233637</v>
      </c>
      <c r="S128" s="86">
        <f t="shared" ref="S128:S131" si="93">R128/43560</f>
        <v>2.8915677720922033</v>
      </c>
      <c r="T128" s="85">
        <f t="shared" ref="T128:T131" si="94">(S128*12)/$D$3</f>
        <v>184.68723189492138</v>
      </c>
      <c r="U128" s="88">
        <f>LOOKUP(N128,'weather data'!$B$7:$B$158,'weather data'!$C$7:$C$158)</f>
        <v>0</v>
      </c>
      <c r="V128" s="88">
        <f t="shared" ref="V128:V131" si="95">IF(U128&lt;0.05,0,0.8*U128)</f>
        <v>0</v>
      </c>
      <c r="W128" s="88">
        <f t="shared" ref="W128:W131" si="96">V128+W127</f>
        <v>2.6480000000000006</v>
      </c>
      <c r="X128" s="79">
        <f>LOOKUP(N128,'weather data'!$B$7:$B$158,'weather data'!$E$7:$E$158)</f>
        <v>0.18</v>
      </c>
      <c r="Y128" s="6">
        <v>1</v>
      </c>
      <c r="Z128" s="6">
        <v>118</v>
      </c>
      <c r="AA128" s="95">
        <f t="shared" ref="AA128:AA131" si="97">Z128*160/$Z$131</f>
        <v>156.03305785123968</v>
      </c>
      <c r="AB128" s="94">
        <f ca="1">FORECAST(AA128,OFFSET(Soils!$K$41:$K$57,MATCH(AA128,Soils!$J$41:$J$57,1)-1,0,2),OFFSET(Soils!$J$41:$J$57,MATCH(AA128,Soils!$J$41:$J$57,1)-1,0,2))</f>
        <v>0.21586776859504131</v>
      </c>
      <c r="AC128" s="92">
        <f t="shared" ref="AC128:AC131" ca="1" si="98">IF(AO128&lt;=AM128,1,(AK128-AO128)/(AK128-AM128))</f>
        <v>1</v>
      </c>
      <c r="AD128" s="92">
        <f t="shared" ref="AD128:AD131" ca="1" si="99">AB128*AC128</f>
        <v>0.21586776859504131</v>
      </c>
      <c r="AE128" s="87">
        <f t="shared" ref="AE128:AE131" ca="1" si="100">X128*AB128</f>
        <v>3.8856198347107435E-2</v>
      </c>
      <c r="AF128" s="87">
        <f t="shared" ref="AF128:AF131" ca="1" si="101">AC128*AE128</f>
        <v>3.8856198347107435E-2</v>
      </c>
      <c r="AG128" s="87">
        <f t="shared" ref="AG128:AG131" ca="1" si="102">AF128+AG127</f>
        <v>12.592035788949195</v>
      </c>
      <c r="AH128" s="56">
        <f ca="1">FORECAST(AA128,OFFSET(Soils!$L$41:$L$57,MATCH(AA128,Soils!$J$41:$J$57,1)-1,0,2),OFFSET(Soils!$J$41:$J$57,MATCH(AA128,Soils!$J$41:$J$57,1)-1,0,2))</f>
        <v>-5.9881107727997707E-2</v>
      </c>
      <c r="AI128" s="27">
        <v>2</v>
      </c>
      <c r="AJ128" s="54"/>
      <c r="AK128" s="54">
        <f t="shared" ref="AK128:AK131" si="103">AI128*$B$3</f>
        <v>2.16</v>
      </c>
      <c r="AL128" s="54">
        <f t="shared" si="66"/>
        <v>54.863999999999997</v>
      </c>
      <c r="AM128" s="27">
        <f t="shared" ref="AM128:AM131" si="104">AK128*$B$4</f>
        <v>0.64800000000000002</v>
      </c>
      <c r="AN128" s="40">
        <f t="shared" ref="AN128:AN131" si="105">AK128-AM128</f>
        <v>1.512</v>
      </c>
      <c r="AO128" s="27">
        <f t="shared" ref="AO128:AO131" ca="1" si="106">AP127</f>
        <v>0</v>
      </c>
      <c r="AP128" s="27">
        <f t="shared" ref="AP128:AP131" ca="1" si="107">IF(AO128+AF128-P128-V128&lt;0,0,AO128+AF128-P128-V128)</f>
        <v>3.8856198347107435E-2</v>
      </c>
      <c r="AQ128" s="27">
        <f t="shared" ref="AQ128:AQ131" ca="1" si="108">AK128-AP128</f>
        <v>2.1211438016528925</v>
      </c>
      <c r="AR128" s="27">
        <f t="shared" ref="AR128:AR131" ca="1" si="109">IF(AE128=0,"",AF128/AE128)</f>
        <v>1</v>
      </c>
      <c r="AS128" s="27">
        <f t="shared" ref="AS128:AS131" ca="1" si="110">IF(P128+V128-AF128&gt;AO128,P128+V128-AF128-AO128,0)</f>
        <v>0</v>
      </c>
      <c r="AT128" s="28">
        <f t="shared" ref="AT128:AT131" ca="1" si="111">AS128+AT127</f>
        <v>174.78205230431936</v>
      </c>
      <c r="AU128" s="27">
        <f t="shared" ref="AU128:AU131" ca="1" si="112">IF(AND(P128&lt;&gt;0,AS128&lt;&gt;0,V128&lt;&gt;0),P128*AS128/(P128+V128),IF(AND(P128&lt;&gt;0,AS128&lt;&gt;0),AS128,0))</f>
        <v>0</v>
      </c>
      <c r="AV128" s="51">
        <f t="shared" ca="1" si="68"/>
        <v>0</v>
      </c>
      <c r="AW128" s="51">
        <f t="shared" ref="AW128:AW131" ca="1" si="113">AU128+AW127</f>
        <v>173.31667237777316</v>
      </c>
      <c r="AX128" s="27">
        <f t="shared" ref="AX128:AX131" ca="1" si="114">IF(AND(P128&lt;&gt;0,AS128&lt;&gt;0,V128&lt;&gt;0),V128*AS128/(P128+V128),IF(AND(V128&lt;&gt;0,AS128&lt;&gt;0),AS128,0))</f>
        <v>0</v>
      </c>
      <c r="AY128" s="54">
        <f t="shared" ref="AY128:AY131" ca="1" si="115">AX128+AY127</f>
        <v>1.465379926546194</v>
      </c>
      <c r="AZ128" s="91">
        <f t="shared" ref="AZ128:AZ131" si="116">P128+V128+AZ127</f>
        <v>187.33523189492138</v>
      </c>
      <c r="BA128" s="33">
        <f t="shared" ref="BA128:BA131" ca="1" si="117">P128+V128-AS128</f>
        <v>0</v>
      </c>
      <c r="BB128" s="33">
        <f t="shared" ref="BB128:BB131" ca="1" si="118">BA128+BB127</f>
        <v>12.553179590602085</v>
      </c>
    </row>
    <row r="129" spans="2:54" x14ac:dyDescent="0.25">
      <c r="B129" s="18"/>
      <c r="D129" s="154">
        <v>42274</v>
      </c>
      <c r="E129" s="58">
        <v>0</v>
      </c>
      <c r="G129" s="18"/>
      <c r="L129" s="83">
        <f t="shared" si="57"/>
        <v>0</v>
      </c>
      <c r="M129" s="68"/>
      <c r="N129" s="62">
        <v>42274</v>
      </c>
      <c r="O129" s="37">
        <f t="shared" si="90"/>
        <v>0</v>
      </c>
      <c r="P129" s="85">
        <f t="shared" si="91"/>
        <v>0</v>
      </c>
      <c r="Q129" s="85">
        <f t="shared" si="60"/>
        <v>0</v>
      </c>
      <c r="R129" s="84">
        <f t="shared" si="92"/>
        <v>125956.69215233637</v>
      </c>
      <c r="S129" s="86">
        <f t="shared" si="93"/>
        <v>2.8915677720922033</v>
      </c>
      <c r="T129" s="85">
        <f t="shared" si="94"/>
        <v>184.68723189492138</v>
      </c>
      <c r="U129" s="88">
        <f>LOOKUP(N129,'weather data'!$B$7:$B$158,'weather data'!$C$7:$C$158)</f>
        <v>0</v>
      </c>
      <c r="V129" s="88">
        <f t="shared" si="95"/>
        <v>0</v>
      </c>
      <c r="W129" s="88">
        <f t="shared" si="96"/>
        <v>2.6480000000000006</v>
      </c>
      <c r="X129" s="79">
        <f>LOOKUP(N129,'weather data'!$B$7:$B$158,'weather data'!$E$7:$E$158)</f>
        <v>0.18</v>
      </c>
      <c r="Y129" s="6">
        <v>1</v>
      </c>
      <c r="Z129" s="6">
        <v>119</v>
      </c>
      <c r="AA129" s="95">
        <f t="shared" si="97"/>
        <v>157.35537190082644</v>
      </c>
      <c r="AB129" s="94">
        <f ca="1">FORECAST(AA129,OFFSET(Soils!$K$41:$K$57,MATCH(AA129,Soils!$J$41:$J$57,1)-1,0,2),OFFSET(Soils!$J$41:$J$57,MATCH(AA129,Soils!$J$41:$J$57,1)-1,0,2))</f>
        <v>0.21057851239669423</v>
      </c>
      <c r="AC129" s="92">
        <f t="shared" ca="1" si="98"/>
        <v>1</v>
      </c>
      <c r="AD129" s="92">
        <f t="shared" ca="1" si="99"/>
        <v>0.21057851239669423</v>
      </c>
      <c r="AE129" s="87">
        <f t="shared" ca="1" si="100"/>
        <v>3.7904132231404958E-2</v>
      </c>
      <c r="AF129" s="87">
        <f t="shared" ca="1" si="101"/>
        <v>3.7904132231404958E-2</v>
      </c>
      <c r="AG129" s="87">
        <f t="shared" ca="1" si="102"/>
        <v>12.6299399211806</v>
      </c>
      <c r="AH129" s="56">
        <f ca="1">FORECAST(AA129,OFFSET(Soils!$L$41:$L$57,MATCH(AA129,Soils!$J$41:$J$57,1)-1,0,2),OFFSET(Soils!$J$41:$J$57,MATCH(AA129,Soils!$J$41:$J$57,1)-1,0,2))</f>
        <v>-6.9160504567203018E-2</v>
      </c>
      <c r="AI129" s="27">
        <v>2</v>
      </c>
      <c r="AJ129" s="54"/>
      <c r="AK129" s="54">
        <f t="shared" si="103"/>
        <v>2.16</v>
      </c>
      <c r="AL129" s="54">
        <f t="shared" si="66"/>
        <v>54.863999999999997</v>
      </c>
      <c r="AM129" s="27">
        <f t="shared" si="104"/>
        <v>0.64800000000000002</v>
      </c>
      <c r="AN129" s="40">
        <f t="shared" si="105"/>
        <v>1.512</v>
      </c>
      <c r="AO129" s="27">
        <f t="shared" ca="1" si="106"/>
        <v>3.8856198347107435E-2</v>
      </c>
      <c r="AP129" s="27">
        <f t="shared" ca="1" si="107"/>
        <v>7.6760330578512392E-2</v>
      </c>
      <c r="AQ129" s="27">
        <f t="shared" ca="1" si="108"/>
        <v>2.0832396694214879</v>
      </c>
      <c r="AR129" s="27">
        <f t="shared" ca="1" si="109"/>
        <v>1</v>
      </c>
      <c r="AS129" s="27">
        <f t="shared" ca="1" si="110"/>
        <v>0</v>
      </c>
      <c r="AT129" s="28">
        <f t="shared" ca="1" si="111"/>
        <v>174.78205230431936</v>
      </c>
      <c r="AU129" s="27">
        <f t="shared" ca="1" si="112"/>
        <v>0</v>
      </c>
      <c r="AV129" s="51">
        <f t="shared" ca="1" si="68"/>
        <v>0</v>
      </c>
      <c r="AW129" s="51">
        <f t="shared" ca="1" si="113"/>
        <v>173.31667237777316</v>
      </c>
      <c r="AX129" s="27">
        <f t="shared" ca="1" si="114"/>
        <v>0</v>
      </c>
      <c r="AY129" s="54">
        <f t="shared" ca="1" si="115"/>
        <v>1.465379926546194</v>
      </c>
      <c r="AZ129" s="91">
        <f t="shared" si="116"/>
        <v>187.33523189492138</v>
      </c>
      <c r="BA129" s="33">
        <f t="shared" ca="1" si="117"/>
        <v>0</v>
      </c>
      <c r="BB129" s="33">
        <f t="shared" ca="1" si="118"/>
        <v>12.553179590602085</v>
      </c>
    </row>
    <row r="130" spans="2:54" x14ac:dyDescent="0.25">
      <c r="B130" s="18"/>
      <c r="D130" s="154">
        <v>42275</v>
      </c>
      <c r="E130" s="58">
        <f>B48</f>
        <v>2439.1651943687511</v>
      </c>
      <c r="G130" s="18"/>
      <c r="L130" s="83">
        <f t="shared" si="57"/>
        <v>2439.1651943687511</v>
      </c>
      <c r="M130" s="68"/>
      <c r="N130" s="62">
        <v>42275</v>
      </c>
      <c r="O130" s="37">
        <f t="shared" si="90"/>
        <v>2439.1651943687511</v>
      </c>
      <c r="P130" s="85">
        <f t="shared" si="91"/>
        <v>3.5764885547928902</v>
      </c>
      <c r="Q130" s="85">
        <f t="shared" si="60"/>
        <v>90.8428092917394</v>
      </c>
      <c r="R130" s="84">
        <f t="shared" si="92"/>
        <v>128395.85734670512</v>
      </c>
      <c r="S130" s="86">
        <f t="shared" si="93"/>
        <v>2.9475632999702737</v>
      </c>
      <c r="T130" s="85">
        <f t="shared" si="94"/>
        <v>188.26372044971427</v>
      </c>
      <c r="U130" s="88">
        <f>LOOKUP(N130,'weather data'!$B$7:$B$158,'weather data'!$C$7:$C$158)</f>
        <v>0</v>
      </c>
      <c r="V130" s="88">
        <f t="shared" si="95"/>
        <v>0</v>
      </c>
      <c r="W130" s="88">
        <f t="shared" si="96"/>
        <v>2.6480000000000006</v>
      </c>
      <c r="X130" s="79">
        <f>LOOKUP(N130,'weather data'!$B$7:$B$158,'weather data'!$E$7:$E$158)</f>
        <v>0.15</v>
      </c>
      <c r="Y130" s="6">
        <v>1</v>
      </c>
      <c r="Z130" s="6">
        <v>120</v>
      </c>
      <c r="AA130" s="95">
        <f t="shared" si="97"/>
        <v>158.67768595041323</v>
      </c>
      <c r="AB130" s="94">
        <f ca="1">FORECAST(AA130,OFFSET(Soils!$K$41:$K$57,MATCH(AA130,Soils!$J$41:$J$57,1)-1,0,2),OFFSET(Soils!$J$41:$J$57,MATCH(AA130,Soils!$J$41:$J$57,1)-1,0,2))</f>
        <v>0.20528925619834704</v>
      </c>
      <c r="AC130" s="92">
        <f t="shared" ca="1" si="98"/>
        <v>1</v>
      </c>
      <c r="AD130" s="92">
        <f t="shared" ca="1" si="99"/>
        <v>0.20528925619834704</v>
      </c>
      <c r="AE130" s="87">
        <f t="shared" ca="1" si="100"/>
        <v>3.0793388429752055E-2</v>
      </c>
      <c r="AF130" s="87">
        <f t="shared" ca="1" si="101"/>
        <v>3.0793388429752055E-2</v>
      </c>
      <c r="AG130" s="87">
        <f t="shared" ca="1" si="102"/>
        <v>12.660733309610352</v>
      </c>
      <c r="AH130" s="56">
        <f ca="1">FORECAST(AA130,OFFSET(Soils!$L$41:$L$57,MATCH(AA130,Soils!$J$41:$J$57,1)-1,0,2),OFFSET(Soils!$J$41:$J$57,MATCH(AA130,Soils!$J$41:$J$57,1)-1,0,2))</f>
        <v>-7.8439901406408552E-2</v>
      </c>
      <c r="AI130" s="27">
        <v>2</v>
      </c>
      <c r="AJ130" s="54"/>
      <c r="AK130" s="54">
        <f t="shared" si="103"/>
        <v>2.16</v>
      </c>
      <c r="AL130" s="54">
        <f t="shared" si="66"/>
        <v>54.863999999999997</v>
      </c>
      <c r="AM130" s="27">
        <f t="shared" si="104"/>
        <v>0.64800000000000002</v>
      </c>
      <c r="AN130" s="40">
        <f t="shared" si="105"/>
        <v>1.512</v>
      </c>
      <c r="AO130" s="27">
        <f t="shared" ca="1" si="106"/>
        <v>7.6760330578512392E-2</v>
      </c>
      <c r="AP130" s="27">
        <f t="shared" ca="1" si="107"/>
        <v>0</v>
      </c>
      <c r="AQ130" s="27">
        <f t="shared" ca="1" si="108"/>
        <v>2.16</v>
      </c>
      <c r="AR130" s="27">
        <f t="shared" ca="1" si="109"/>
        <v>1</v>
      </c>
      <c r="AS130" s="27">
        <f t="shared" ca="1" si="110"/>
        <v>3.4689348357846259</v>
      </c>
      <c r="AT130" s="28">
        <f t="shared" ca="1" si="111"/>
        <v>178.250987140104</v>
      </c>
      <c r="AU130" s="27">
        <f t="shared" ca="1" si="112"/>
        <v>3.4689348357846259</v>
      </c>
      <c r="AV130" s="51">
        <f t="shared" ca="1" si="68"/>
        <v>88.11094482892949</v>
      </c>
      <c r="AW130" s="51">
        <f t="shared" ca="1" si="113"/>
        <v>176.7856072135578</v>
      </c>
      <c r="AX130" s="27">
        <f t="shared" ca="1" si="114"/>
        <v>0</v>
      </c>
      <c r="AY130" s="54">
        <f t="shared" ca="1" si="115"/>
        <v>1.465379926546194</v>
      </c>
      <c r="AZ130" s="91">
        <f t="shared" si="116"/>
        <v>190.91172044971427</v>
      </c>
      <c r="BA130" s="33">
        <f t="shared" ca="1" si="117"/>
        <v>0.10755371900826427</v>
      </c>
      <c r="BB130" s="33">
        <f t="shared" ca="1" si="118"/>
        <v>12.660733309610348</v>
      </c>
    </row>
    <row r="131" spans="2:54" x14ac:dyDescent="0.25">
      <c r="B131" s="18"/>
      <c r="D131" s="154">
        <v>42276</v>
      </c>
      <c r="E131" s="58">
        <v>0</v>
      </c>
      <c r="G131" s="18"/>
      <c r="L131" s="83">
        <f t="shared" si="57"/>
        <v>0</v>
      </c>
      <c r="M131" s="68"/>
      <c r="N131" s="62">
        <v>42276</v>
      </c>
      <c r="O131" s="37">
        <f t="shared" si="90"/>
        <v>0</v>
      </c>
      <c r="P131" s="85">
        <f t="shared" si="91"/>
        <v>0</v>
      </c>
      <c r="Q131" s="85">
        <f t="shared" si="60"/>
        <v>0</v>
      </c>
      <c r="R131" s="84">
        <f t="shared" si="92"/>
        <v>128395.85734670512</v>
      </c>
      <c r="S131" s="86">
        <f t="shared" si="93"/>
        <v>2.9475632999702737</v>
      </c>
      <c r="T131" s="85">
        <f t="shared" si="94"/>
        <v>188.26372044971427</v>
      </c>
      <c r="U131" s="88">
        <f>LOOKUP(N131,'weather data'!$B$7:$B$158,'weather data'!$C$7:$C$158)</f>
        <v>0</v>
      </c>
      <c r="V131" s="88">
        <f t="shared" si="95"/>
        <v>0</v>
      </c>
      <c r="W131" s="88">
        <f t="shared" si="96"/>
        <v>2.6480000000000006</v>
      </c>
      <c r="X131" s="79">
        <f>LOOKUP(N131,'weather data'!$B$7:$B$158,'weather data'!$E$7:$E$158)</f>
        <v>0.15</v>
      </c>
      <c r="Y131" s="6">
        <v>1</v>
      </c>
      <c r="Z131" s="6">
        <v>121</v>
      </c>
      <c r="AA131" s="95">
        <f t="shared" si="97"/>
        <v>160</v>
      </c>
      <c r="AB131" s="94">
        <f ca="1">FORECAST(AA131,OFFSET(Soils!$K$41:$K$57,MATCH(AA131,Soils!$J$41:$J$57,1)-1,0,2),OFFSET(Soils!$J$41:$J$57,MATCH(AA131,Soils!$J$41:$J$57,1)-1,0,2))</f>
        <v>0.2</v>
      </c>
      <c r="AC131" s="92">
        <f t="shared" ca="1" si="98"/>
        <v>1</v>
      </c>
      <c r="AD131" s="92">
        <f t="shared" ca="1" si="99"/>
        <v>0.2</v>
      </c>
      <c r="AE131" s="87">
        <f t="shared" ca="1" si="100"/>
        <v>0.03</v>
      </c>
      <c r="AF131" s="87">
        <f t="shared" ca="1" si="101"/>
        <v>0.03</v>
      </c>
      <c r="AG131" s="87">
        <f t="shared" ca="1" si="102"/>
        <v>12.690733309610351</v>
      </c>
      <c r="AH131" s="56">
        <f ca="1">FORECAST(AA131,OFFSET(Soils!$L$41:$L$57,MATCH(AA131,Soils!$J$41:$J$57,1)-1,0,2),OFFSET(Soils!$J$41:$J$57,MATCH(AA131,Soils!$J$41:$J$57,1)-1,0,2))</f>
        <v>-8.7719298245614016E-2</v>
      </c>
      <c r="AI131" s="27">
        <v>2</v>
      </c>
      <c r="AJ131" s="54"/>
      <c r="AK131" s="54">
        <f t="shared" si="103"/>
        <v>2.16</v>
      </c>
      <c r="AL131" s="54">
        <f t="shared" si="66"/>
        <v>54.863999999999997</v>
      </c>
      <c r="AM131" s="27">
        <f t="shared" si="104"/>
        <v>0.64800000000000002</v>
      </c>
      <c r="AN131" s="40">
        <f t="shared" si="105"/>
        <v>1.512</v>
      </c>
      <c r="AO131" s="27">
        <f t="shared" ca="1" si="106"/>
        <v>0</v>
      </c>
      <c r="AP131" s="27">
        <f t="shared" ca="1" si="107"/>
        <v>0.03</v>
      </c>
      <c r="AQ131" s="27">
        <f t="shared" ca="1" si="108"/>
        <v>2.1300000000000003</v>
      </c>
      <c r="AR131" s="27">
        <f t="shared" ca="1" si="109"/>
        <v>1</v>
      </c>
      <c r="AS131" s="27">
        <f t="shared" ca="1" si="110"/>
        <v>0</v>
      </c>
      <c r="AT131" s="28">
        <f t="shared" ca="1" si="111"/>
        <v>178.250987140104</v>
      </c>
      <c r="AU131" s="27">
        <f t="shared" ca="1" si="112"/>
        <v>0</v>
      </c>
      <c r="AV131" s="51">
        <f t="shared" ca="1" si="68"/>
        <v>0</v>
      </c>
      <c r="AW131" s="51">
        <f t="shared" ca="1" si="113"/>
        <v>176.7856072135578</v>
      </c>
      <c r="AX131" s="27">
        <f t="shared" ca="1" si="114"/>
        <v>0</v>
      </c>
      <c r="AY131" s="54">
        <f t="shared" ca="1" si="115"/>
        <v>1.465379926546194</v>
      </c>
      <c r="AZ131" s="91">
        <f t="shared" si="116"/>
        <v>190.91172044971427</v>
      </c>
      <c r="BA131" s="33">
        <f t="shared" ca="1" si="117"/>
        <v>0</v>
      </c>
      <c r="BB131" s="33">
        <f t="shared" ca="1" si="118"/>
        <v>12.660733309610348</v>
      </c>
    </row>
    <row r="132" spans="2:54" x14ac:dyDescent="0.25">
      <c r="L132" s="90"/>
      <c r="M132" s="59"/>
      <c r="N132" s="62"/>
      <c r="O132" s="37"/>
      <c r="P132" s="37"/>
      <c r="Q132" s="37"/>
      <c r="R132" s="37"/>
      <c r="S132" s="37"/>
      <c r="T132" s="37"/>
      <c r="U132" s="38"/>
      <c r="V132" s="39"/>
      <c r="W132" s="38"/>
      <c r="X132" s="73"/>
      <c r="Y132" s="70"/>
      <c r="Z132" s="70"/>
      <c r="AA132" s="70"/>
      <c r="AB132" s="70"/>
      <c r="AC132" s="70"/>
      <c r="AD132" s="70"/>
      <c r="AE132" s="21"/>
      <c r="AF132" s="21"/>
      <c r="AG132" s="21"/>
      <c r="AH132" s="144"/>
      <c r="AI132" s="144"/>
      <c r="AJ132" s="145"/>
      <c r="AK132" s="55"/>
      <c r="AL132" s="55"/>
      <c r="AM132" s="41"/>
      <c r="AN132" s="41"/>
      <c r="AO132" s="41"/>
      <c r="AP132" s="41"/>
      <c r="AQ132" s="41"/>
      <c r="AR132" s="40"/>
      <c r="AS132" s="41"/>
      <c r="AT132" s="42"/>
      <c r="AU132" s="27"/>
      <c r="AV132" s="52"/>
      <c r="AW132" s="52"/>
      <c r="AX132" s="27"/>
      <c r="AY132" s="55"/>
      <c r="AZ132" s="32"/>
      <c r="BA132" s="33"/>
      <c r="BB132" s="33"/>
    </row>
    <row r="133" spans="2:54" ht="90" x14ac:dyDescent="0.25">
      <c r="D133" t="s">
        <v>356</v>
      </c>
      <c r="E133" s="1">
        <f>SUM(E11:E131)</f>
        <v>128395.85734670512</v>
      </c>
      <c r="L133" s="89" t="s">
        <v>223</v>
      </c>
      <c r="M133" s="63" t="s">
        <v>224</v>
      </c>
      <c r="N133" s="61" t="s">
        <v>1</v>
      </c>
      <c r="O133" s="34" t="s">
        <v>181</v>
      </c>
      <c r="P133" s="34" t="s">
        <v>0</v>
      </c>
      <c r="Q133" s="34"/>
      <c r="R133" s="34" t="s">
        <v>165</v>
      </c>
      <c r="S133" s="34" t="s">
        <v>163</v>
      </c>
      <c r="T133" s="34" t="s">
        <v>164</v>
      </c>
      <c r="U133" s="35" t="s">
        <v>168</v>
      </c>
      <c r="V133" s="36" t="s">
        <v>167</v>
      </c>
      <c r="W133" s="35" t="s">
        <v>173</v>
      </c>
      <c r="X133" s="72" t="s">
        <v>174</v>
      </c>
      <c r="Y133" s="69" t="s">
        <v>170</v>
      </c>
      <c r="Z133" s="69" t="s">
        <v>288</v>
      </c>
      <c r="AA133" s="69" t="s">
        <v>286</v>
      </c>
      <c r="AB133" s="69" t="s">
        <v>292</v>
      </c>
      <c r="AC133" s="69" t="s">
        <v>210</v>
      </c>
      <c r="AD133" s="69" t="s">
        <v>280</v>
      </c>
      <c r="AE133" s="22" t="s">
        <v>209</v>
      </c>
      <c r="AF133" s="22" t="s">
        <v>214</v>
      </c>
      <c r="AG133" s="22" t="s">
        <v>175</v>
      </c>
      <c r="AH133" s="56" t="s">
        <v>336</v>
      </c>
      <c r="AI133" s="56" t="s">
        <v>335</v>
      </c>
      <c r="AJ133" s="146"/>
      <c r="AK133" s="53" t="s">
        <v>207</v>
      </c>
      <c r="AL133" s="53"/>
      <c r="AM133" s="29" t="s">
        <v>208</v>
      </c>
      <c r="AN133" s="29" t="s">
        <v>215</v>
      </c>
      <c r="AO133" s="56" t="s">
        <v>211</v>
      </c>
      <c r="AP133" s="56" t="s">
        <v>212</v>
      </c>
      <c r="AQ133" s="56" t="s">
        <v>213</v>
      </c>
      <c r="AR133" s="29" t="s">
        <v>182</v>
      </c>
      <c r="AS133" s="29" t="s">
        <v>183</v>
      </c>
      <c r="AT133" s="30" t="s">
        <v>184</v>
      </c>
      <c r="AU133" s="56" t="s">
        <v>185</v>
      </c>
      <c r="AV133" s="155"/>
      <c r="AW133" s="50" t="s">
        <v>186</v>
      </c>
      <c r="AX133" s="56" t="s">
        <v>187</v>
      </c>
      <c r="AY133" s="53" t="s">
        <v>188</v>
      </c>
      <c r="AZ133" s="31" t="s">
        <v>189</v>
      </c>
      <c r="BA133" s="26" t="s">
        <v>190</v>
      </c>
      <c r="BB133" s="26" t="s">
        <v>191</v>
      </c>
    </row>
    <row r="134" spans="2:54" s="43" customFormat="1" x14ac:dyDescent="0.25">
      <c r="D134"/>
      <c r="E134" s="1"/>
      <c r="F134"/>
      <c r="G134"/>
      <c r="H134"/>
      <c r="I134"/>
      <c r="L134" s="64">
        <f>SUM(L11:L131)</f>
        <v>128395.85734670512</v>
      </c>
      <c r="M134"/>
      <c r="O134" s="64">
        <f>SUM(O11:O131)</f>
        <v>128395.85734670512</v>
      </c>
      <c r="P134" s="49">
        <f>SUM(P11:P131)</f>
        <v>188.26372044971427</v>
      </c>
      <c r="Q134" s="49"/>
      <c r="S134" s="81">
        <f>S131</f>
        <v>2.9475632999702737</v>
      </c>
      <c r="T134" s="49">
        <f>T131</f>
        <v>188.26372044971427</v>
      </c>
      <c r="W134" s="49">
        <f>W131</f>
        <v>2.6480000000000006</v>
      </c>
      <c r="AG134" s="49">
        <f ca="1">AG131</f>
        <v>12.690733309610351</v>
      </c>
      <c r="AH134" s="49"/>
      <c r="AI134" s="49"/>
      <c r="AJ134" s="49"/>
      <c r="AO134"/>
      <c r="AP134"/>
      <c r="AQ134"/>
      <c r="AR134" s="49">
        <f ca="1">AVERAGE(AR11:AR131)</f>
        <v>0.97876279057905469</v>
      </c>
      <c r="AT134" s="49">
        <f ca="1">AT131</f>
        <v>178.250987140104</v>
      </c>
      <c r="AU134" s="49"/>
      <c r="AV134" s="49"/>
      <c r="AW134" s="49">
        <f t="shared" ref="AW134:BB134" ca="1" si="119">AW131</f>
        <v>176.7856072135578</v>
      </c>
      <c r="AX134" s="49"/>
      <c r="AY134" s="49">
        <f t="shared" ca="1" si="119"/>
        <v>1.465379926546194</v>
      </c>
      <c r="AZ134" s="49">
        <f t="shared" si="119"/>
        <v>190.91172044971427</v>
      </c>
      <c r="BA134" s="49"/>
      <c r="BB134" s="49">
        <f t="shared" ca="1" si="119"/>
        <v>12.660733309610348</v>
      </c>
    </row>
    <row r="136" spans="2:54" x14ac:dyDescent="0.25">
      <c r="N136" s="44" t="s">
        <v>193</v>
      </c>
      <c r="R136" s="44" t="s">
        <v>201</v>
      </c>
    </row>
    <row r="137" spans="2:54" x14ac:dyDescent="0.25">
      <c r="N137" t="s">
        <v>194</v>
      </c>
      <c r="R137" t="s">
        <v>275</v>
      </c>
      <c r="T137" s="1">
        <f>B6</f>
        <v>0.27</v>
      </c>
      <c r="V137" s="44" t="s">
        <v>204</v>
      </c>
    </row>
    <row r="138" spans="2:54" ht="15.75" thickBot="1" x14ac:dyDescent="0.3">
      <c r="N138" t="s">
        <v>195</v>
      </c>
      <c r="R138" t="s">
        <v>202</v>
      </c>
      <c r="T138" s="1">
        <f ca="1">AQ131</f>
        <v>2.1300000000000003</v>
      </c>
      <c r="V138" t="s">
        <v>205</v>
      </c>
    </row>
    <row r="139" spans="2:54" ht="15.75" thickBot="1" x14ac:dyDescent="0.3">
      <c r="N139" t="s">
        <v>198</v>
      </c>
      <c r="O139" t="s">
        <v>196</v>
      </c>
      <c r="R139" s="45" t="s">
        <v>203</v>
      </c>
      <c r="S139" s="46"/>
      <c r="T139" s="47">
        <f ca="1">T138-$AQ$10</f>
        <v>1.8600000000000003</v>
      </c>
      <c r="U139" s="93" t="s">
        <v>284</v>
      </c>
      <c r="V139" s="82">
        <f ca="1">W134+T134-AG134-AT134</f>
        <v>-3.0000000000086402E-2</v>
      </c>
    </row>
    <row r="140" spans="2:54" x14ac:dyDescent="0.25">
      <c r="N140" t="s">
        <v>197</v>
      </c>
      <c r="O140">
        <v>1.1000000000000001</v>
      </c>
    </row>
    <row r="141" spans="2:54" ht="15.75" thickBot="1" x14ac:dyDescent="0.3">
      <c r="N141" t="s">
        <v>199</v>
      </c>
      <c r="O141" s="1">
        <f ca="1">AR134</f>
        <v>0.97876279057905469</v>
      </c>
      <c r="R141" t="s">
        <v>343</v>
      </c>
    </row>
    <row r="142" spans="2:54" ht="15.75" thickBot="1" x14ac:dyDescent="0.3">
      <c r="N142" s="46" t="s">
        <v>200</v>
      </c>
      <c r="O142" s="48">
        <f ca="1">1-O140*(1-O141)</f>
        <v>0.97663906963696012</v>
      </c>
      <c r="R142" t="s">
        <v>344</v>
      </c>
      <c r="T142" s="1">
        <f>AK131</f>
        <v>2.16</v>
      </c>
    </row>
    <row r="143" spans="2:54" ht="15.75" thickBot="1" x14ac:dyDescent="0.3">
      <c r="R143" t="s">
        <v>345</v>
      </c>
      <c r="T143" s="1">
        <f ca="1">AQ131</f>
        <v>2.1300000000000003</v>
      </c>
    </row>
    <row r="144" spans="2:54" ht="15.75" thickBot="1" x14ac:dyDescent="0.3">
      <c r="R144" s="45" t="s">
        <v>203</v>
      </c>
      <c r="S144" s="147"/>
      <c r="T144" s="47">
        <f ca="1">T143-T142</f>
        <v>-2.9999999999999805E-2</v>
      </c>
      <c r="U144" s="93" t="s">
        <v>284</v>
      </c>
      <c r="V144" s="82">
        <f ca="1">V139</f>
        <v>-3.0000000000086402E-2</v>
      </c>
    </row>
    <row r="145" spans="15:15" x14ac:dyDescent="0.25">
      <c r="O145" t="s">
        <v>206</v>
      </c>
    </row>
    <row r="146" spans="15:15" x14ac:dyDescent="0.25">
      <c r="O146" t="s">
        <v>227</v>
      </c>
    </row>
    <row r="147" spans="15:15" x14ac:dyDescent="0.25">
      <c r="O147" t="s">
        <v>226</v>
      </c>
    </row>
  </sheetData>
  <mergeCells count="5">
    <mergeCell ref="AH8:BB8"/>
    <mergeCell ref="N8:T8"/>
    <mergeCell ref="U8:W8"/>
    <mergeCell ref="AE8:AG8"/>
    <mergeCell ref="Y8:AD8"/>
  </mergeCell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Soils</vt:lpstr>
      <vt:lpstr>weather data</vt:lpstr>
      <vt:lpstr>Fig 8</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Tyler Pratt</cp:lastModifiedBy>
  <dcterms:created xsi:type="dcterms:W3CDTF">2015-07-16T20:13:18Z</dcterms:created>
  <dcterms:modified xsi:type="dcterms:W3CDTF">2018-10-05T18:34:22Z</dcterms:modified>
</cp:coreProperties>
</file>